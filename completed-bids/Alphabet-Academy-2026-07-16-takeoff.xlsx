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 by Material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8" customWidth="1" min="5" max="5"/>
    <col width="8" customWidth="1" min="6" max="6"/>
    <col width="11" customWidth="1" min="7" max="7"/>
    <col width="11" customWidth="1" min="8" max="8"/>
    <col width="14" customWidth="1" min="9" max="9"/>
    <col width="10" customWidth="1" min="10" max="10"/>
    <col width="11" customWidth="1" min="11" max="11"/>
    <col width="22" customWidth="1" min="12" max="12"/>
  </cols>
  <sheetData>
    <row r="1">
      <c r="A1" s="1" t="inlineStr">
        <is>
          <t>Item #</t>
        </is>
      </c>
      <c r="B1" s="1" t="inlineStr">
        <is>
          <t>Description</t>
        </is>
      </c>
      <c r="C1" s="1" t="inlineStr">
        <is>
          <t>Location/Area</t>
        </is>
      </c>
      <c r="D1" s="1" t="inlineStr">
        <is>
          <t>Material Type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Wt (lbs)</t>
        </is>
      </c>
      <c r="H1" s="1" t="inlineStr">
        <is>
          <t>Ext Wt (lbs)</t>
        </is>
      </c>
      <c r="I1" s="1" t="inlineStr">
        <is>
          <t>Stock Length Used</t>
        </is>
      </c>
      <c r="J1" s="1" t="inlineStr">
        <is>
          <t>Waste %</t>
        </is>
      </c>
      <c r="K1" s="1" t="inlineStr">
        <is>
          <t>Waste Flag</t>
        </is>
      </c>
      <c r="L1" s="1" t="inlineStr">
        <is>
          <t>Notes</t>
        </is>
      </c>
    </row>
    <row r="2">
      <c r="A2" t="n">
        <v>1</v>
      </c>
      <c r="B2" t="inlineStr">
        <is>
          <t>C2 Columns - HSS6x3x5/16 (Bull Moose Tube: 17.0 lb/ft)</t>
        </is>
      </c>
      <c r="C2" t="inlineStr">
        <is>
          <t>Canopy - Grid 9</t>
        </is>
      </c>
      <c r="D2" t="inlineStr">
        <is>
          <t>Tube / HSS</t>
        </is>
      </c>
      <c r="E2" t="n">
        <v>3</v>
      </c>
      <c r="F2" t="inlineStr">
        <is>
          <t>EA</t>
        </is>
      </c>
      <c r="G2" t="n">
        <v>238</v>
      </c>
      <c r="H2">
        <f>IF(E2="","",E2*G2)</f>
        <v/>
      </c>
      <c r="I2" t="inlineStr">
        <is>
          <t>14'-0" cut-to-length</t>
        </is>
      </c>
      <c r="J2" s="2" t="n">
        <v>0.08</v>
      </c>
      <c r="K2">
        <f>IF(J2="","",IF(J2&gt;0.3,"HARD FAIL",IF(J2&gt;=0.2,"CAUTION","PASS")))</f>
        <v/>
      </c>
      <c r="L2" t="inlineStr">
        <is>
          <t>Confirmed spec per Arie 2026-07-16. Height per S-300 generic column/beam section (Top of Steel El. +14'-0").</t>
        </is>
      </c>
    </row>
    <row r="3">
      <c r="A3" t="n">
        <v>2</v>
      </c>
      <c r="B3" t="inlineStr">
        <is>
          <t>C3 Columns - HSS7x3x5/16 (Bull Moose Tube: 19.1 lb/ft)</t>
        </is>
      </c>
      <c r="C3" t="inlineStr">
        <is>
          <t>Canopy - Grid 4,6,7</t>
        </is>
      </c>
      <c r="D3" t="inlineStr">
        <is>
          <t>Tube / HSS</t>
        </is>
      </c>
      <c r="E3" t="n">
        <v>6</v>
      </c>
      <c r="F3" t="inlineStr">
        <is>
          <t>EA</t>
        </is>
      </c>
      <c r="G3" t="n">
        <v>267.4</v>
      </c>
      <c r="H3">
        <f>IF(E3="","",E3*G3)</f>
        <v/>
      </c>
      <c r="I3" t="inlineStr">
        <is>
          <t>14'-0" cut-to-length</t>
        </is>
      </c>
      <c r="J3" s="2" t="n">
        <v>0.08</v>
      </c>
      <c r="K3">
        <f>IF(J3="","",IF(J3&gt;0.3,"HARD FAIL",IF(J3&gt;=0.2,"CAUTION","PASS")))</f>
        <v/>
      </c>
      <c r="L3" t="inlineStr">
        <is>
          <t>Confirmed spec per Arie 2026-07-16.</t>
        </is>
      </c>
    </row>
    <row r="4">
      <c r="A4" t="n">
        <v>3</v>
      </c>
      <c r="B4" t="inlineStr">
        <is>
          <t>WF Beam W21x48 - Row 1</t>
        </is>
      </c>
      <c r="C4" t="inlineStr">
        <is>
          <t>Canopy Row A, Bay 4-6</t>
        </is>
      </c>
      <c r="D4" t="inlineStr">
        <is>
          <t>WF Beams</t>
        </is>
      </c>
      <c r="E4" t="n">
        <v>1</v>
      </c>
      <c r="F4" t="inlineStr">
        <is>
          <t>EA</t>
        </is>
      </c>
      <c r="G4" t="n">
        <v>1200</v>
      </c>
      <c r="H4">
        <f>IF(E4="","",E4*G4)</f>
        <v/>
      </c>
      <c r="I4" t="inlineStr">
        <is>
          <t>25'-0" (bay span)</t>
        </is>
      </c>
      <c r="J4" s="2" t="n">
        <v>0.08</v>
      </c>
      <c r="K4">
        <f>IF(J4="","",IF(J4&gt;0.3,"HARD FAIL",IF(J4&gt;=0.2,"CAUTION","PASS")))</f>
        <v/>
      </c>
      <c r="L4" t="inlineStr">
        <is>
          <t>Length = grid bay spacing, NOT a beam schedule dimension - planning-stage assumption approved by Arie 2026-07-16.</t>
        </is>
      </c>
    </row>
    <row r="5">
      <c r="A5" t="n">
        <v>4</v>
      </c>
      <c r="B5" t="inlineStr">
        <is>
          <t>WF Beam W16x31 - Row 1</t>
        </is>
      </c>
      <c r="C5" t="inlineStr">
        <is>
          <t>Canopy Row A, Bay 6-7</t>
        </is>
      </c>
      <c r="D5" t="inlineStr">
        <is>
          <t>WF Beams</t>
        </is>
      </c>
      <c r="E5" t="n">
        <v>1</v>
      </c>
      <c r="F5" t="inlineStr">
        <is>
          <t>EA</t>
        </is>
      </c>
      <c r="G5" t="n">
        <v>687.2700000000001</v>
      </c>
      <c r="H5">
        <f>IF(E5="","",E5*G5)</f>
        <v/>
      </c>
      <c r="I5" t="inlineStr">
        <is>
          <t>22'-2" (bay span)</t>
        </is>
      </c>
      <c r="J5" s="2" t="n">
        <v>0.08</v>
      </c>
      <c r="K5">
        <f>IF(J5="","",IF(J5&gt;0.3,"HARD FAIL",IF(J5&gt;=0.2,"CAUTION","PASS")))</f>
        <v/>
      </c>
      <c r="L5" t="inlineStr">
        <is>
          <t>Grid-derived length, see note row 3.</t>
        </is>
      </c>
    </row>
    <row r="6">
      <c r="A6" t="n">
        <v>5</v>
      </c>
      <c r="B6" t="inlineStr">
        <is>
          <t>WF Beam W21x48 - Row 1</t>
        </is>
      </c>
      <c r="C6" t="inlineStr">
        <is>
          <t>Canopy Row A, Bay 7-8</t>
        </is>
      </c>
      <c r="D6" t="inlineStr">
        <is>
          <t>WF Beams</t>
        </is>
      </c>
      <c r="E6" t="n">
        <v>1</v>
      </c>
      <c r="F6" t="inlineStr">
        <is>
          <t>EA</t>
        </is>
      </c>
      <c r="G6" t="n">
        <v>932.1600000000001</v>
      </c>
      <c r="H6">
        <f>IF(E6="","",E6*G6)</f>
        <v/>
      </c>
      <c r="I6" t="inlineStr">
        <is>
          <t>19'-5" (bay span)</t>
        </is>
      </c>
      <c r="J6" s="2" t="n">
        <v>0.08</v>
      </c>
      <c r="K6">
        <f>IF(J6="","",IF(J6&gt;0.3,"HARD FAIL",IF(J6&gt;=0.2,"CAUTION","PASS")))</f>
        <v/>
      </c>
      <c r="L6" t="inlineStr">
        <is>
          <t>Grid-derived length, see note row 3.</t>
        </is>
      </c>
    </row>
    <row r="7">
      <c r="A7" t="n">
        <v>6</v>
      </c>
      <c r="B7" t="inlineStr">
        <is>
          <t>WF Beam W21x44 - Row 1</t>
        </is>
      </c>
      <c r="C7" t="inlineStr">
        <is>
          <t>Canopy Row A, Bay 8-9</t>
        </is>
      </c>
      <c r="D7" t="inlineStr">
        <is>
          <t>WF Beams</t>
        </is>
      </c>
      <c r="E7" t="n">
        <v>1</v>
      </c>
      <c r="F7" t="inlineStr">
        <is>
          <t>EA</t>
        </is>
      </c>
      <c r="G7" t="n">
        <v>979</v>
      </c>
      <c r="H7">
        <f>IF(E7="","",E7*G7)</f>
        <v/>
      </c>
      <c r="I7" t="inlineStr">
        <is>
          <t>22'-3" (bay span)</t>
        </is>
      </c>
      <c r="J7" s="2" t="n">
        <v>0.08</v>
      </c>
      <c r="K7">
        <f>IF(J7="","",IF(J7&gt;0.3,"HARD FAIL",IF(J7&gt;=0.2,"CAUTION","PASS")))</f>
        <v/>
      </c>
      <c r="L7" t="inlineStr">
        <is>
          <t>Grid-derived length, see note row 3.</t>
        </is>
      </c>
    </row>
    <row r="8">
      <c r="A8" t="n">
        <v>7</v>
      </c>
      <c r="B8" t="inlineStr">
        <is>
          <t>WF Beam W16x31 - Row 2</t>
        </is>
      </c>
      <c r="C8" t="inlineStr">
        <is>
          <t>Canopy Row B, Bay 4-6</t>
        </is>
      </c>
      <c r="D8" t="inlineStr">
        <is>
          <t>WF Beams</t>
        </is>
      </c>
      <c r="E8" t="n">
        <v>1</v>
      </c>
      <c r="F8" t="inlineStr">
        <is>
          <t>EA</t>
        </is>
      </c>
      <c r="G8" t="n">
        <v>775</v>
      </c>
      <c r="H8">
        <f>IF(E8="","",E8*G8)</f>
        <v/>
      </c>
      <c r="I8" t="inlineStr">
        <is>
          <t>25'-0" (bay span)</t>
        </is>
      </c>
      <c r="J8" s="2" t="n">
        <v>0.08</v>
      </c>
      <c r="K8">
        <f>IF(J8="","",IF(J8&gt;0.3,"HARD FAIL",IF(J8&gt;=0.2,"CAUTION","PASS")))</f>
        <v/>
      </c>
      <c r="L8" t="inlineStr">
        <is>
          <t>Grid-derived length, see note row 3.</t>
        </is>
      </c>
    </row>
    <row r="9">
      <c r="A9" t="n">
        <v>8</v>
      </c>
      <c r="B9" t="inlineStr">
        <is>
          <t>WF Beam W24x55 - Row 2</t>
        </is>
      </c>
      <c r="C9" t="inlineStr">
        <is>
          <t>Canopy Row B, Bay 6-7</t>
        </is>
      </c>
      <c r="D9" t="inlineStr">
        <is>
          <t>WF Beams</t>
        </is>
      </c>
      <c r="E9" t="n">
        <v>1</v>
      </c>
      <c r="F9" t="inlineStr">
        <is>
          <t>EA</t>
        </is>
      </c>
      <c r="G9" t="n">
        <v>1219.35</v>
      </c>
      <c r="H9">
        <f>IF(E9="","",E9*G9)</f>
        <v/>
      </c>
      <c r="I9" t="inlineStr">
        <is>
          <t>22'-2" (bay span)</t>
        </is>
      </c>
      <c r="J9" s="2" t="n">
        <v>0.08</v>
      </c>
      <c r="K9">
        <f>IF(J9="","",IF(J9&gt;0.3,"HARD FAIL",IF(J9&gt;=0.2,"CAUTION","PASS")))</f>
        <v/>
      </c>
      <c r="L9" t="inlineStr">
        <is>
          <t>Grid-derived length, see note row 3.</t>
        </is>
      </c>
    </row>
    <row r="10">
      <c r="A10" t="n">
        <v>9</v>
      </c>
      <c r="B10" t="inlineStr">
        <is>
          <t>WF Beam W21x44 - Row 2</t>
        </is>
      </c>
      <c r="C10" t="inlineStr">
        <is>
          <t>Canopy Row B, Bay 7-8</t>
        </is>
      </c>
      <c r="D10" t="inlineStr">
        <is>
          <t>WF Beams</t>
        </is>
      </c>
      <c r="E10" t="n">
        <v>1</v>
      </c>
      <c r="F10" t="inlineStr">
        <is>
          <t>EA</t>
        </is>
      </c>
      <c r="G10" t="n">
        <v>854.48</v>
      </c>
      <c r="H10">
        <f>IF(E10="","",E10*G10)</f>
        <v/>
      </c>
      <c r="I10" t="inlineStr">
        <is>
          <t>19'-5" (bay span)</t>
        </is>
      </c>
      <c r="J10" s="2" t="n">
        <v>0.08</v>
      </c>
      <c r="K10">
        <f>IF(J10="","",IF(J10&gt;0.3,"HARD FAIL",IF(J10&gt;=0.2,"CAUTION","PASS")))</f>
        <v/>
      </c>
      <c r="L10" t="inlineStr">
        <is>
          <t>Grid-derived length, see note row 3.</t>
        </is>
      </c>
    </row>
    <row r="11">
      <c r="A11" t="n">
        <v>10</v>
      </c>
      <c r="B11" t="inlineStr">
        <is>
          <t>WF Beam W24x62 - Row 2</t>
        </is>
      </c>
      <c r="C11" t="inlineStr">
        <is>
          <t>Canopy Row B, Bay 8-9</t>
        </is>
      </c>
      <c r="D11" t="inlineStr">
        <is>
          <t>WF Beams</t>
        </is>
      </c>
      <c r="E11" t="n">
        <v>1</v>
      </c>
      <c r="F11" t="inlineStr">
        <is>
          <t>EA</t>
        </is>
      </c>
      <c r="G11" t="n">
        <v>1379.5</v>
      </c>
      <c r="H11">
        <f>IF(E11="","",E11*G11)</f>
        <v/>
      </c>
      <c r="I11" t="inlineStr">
        <is>
          <t>22'-3" (bay span)</t>
        </is>
      </c>
      <c r="J11" s="2" t="n">
        <v>0.08</v>
      </c>
      <c r="K11">
        <f>IF(J11="","",IF(J11&gt;0.3,"HARD FAIL",IF(J11&gt;=0.2,"CAUTION","PASS")))</f>
        <v/>
      </c>
      <c r="L11" t="inlineStr">
        <is>
          <t>Grid-derived length, see note row 3.</t>
        </is>
      </c>
    </row>
    <row r="12">
      <c r="A12" t="n">
        <v>11</v>
      </c>
      <c r="B12" t="inlineStr">
        <is>
          <t>WF Beam W12x16 - Row 2 (5th beam, no matching bay dim)</t>
        </is>
      </c>
      <c r="C12" t="inlineStr">
        <is>
          <t>Canopy Row B, Grid 9 area</t>
        </is>
      </c>
      <c r="D12" t="inlineStr">
        <is>
          <t>WF Beams</t>
        </is>
      </c>
      <c r="E12" t="n">
        <v>1</v>
      </c>
      <c r="F12" t="inlineStr">
        <is>
          <t>EA</t>
        </is>
      </c>
      <c r="G12" t="n">
        <v>160</v>
      </c>
      <c r="H12">
        <f>IF(E12="","",E12*G12)</f>
        <v/>
      </c>
      <c r="I12" t="inlineStr">
        <is>
          <t>10'-0" ASSUMED - not grid-derived</t>
        </is>
      </c>
      <c r="J12" s="2" t="n">
        <v>0.08</v>
      </c>
      <c r="K12">
        <f>IF(J12="","",IF(J12&gt;0.3,"HARD FAIL",IF(J12&gt;=0.2,"CAUTION","PASS")))</f>
        <v/>
      </c>
      <c r="L12" t="inlineStr">
        <is>
          <t>NO matching bay dimension found for this 5th beam - 10' is a rough placeholder, weakest assumption in this takeoff. Verify against detailer/EOR.</t>
        </is>
      </c>
    </row>
    <row r="13">
      <c r="A13" t="n">
        <v>12</v>
      </c>
      <c r="B13" t="inlineStr">
        <is>
          <t>Perimeter Angle - assumed L3x3x1/4 (4.9 lb/ft)</t>
        </is>
      </c>
      <c r="C13" t="inlineStr">
        <is>
          <t>Building perimeter</t>
        </is>
      </c>
      <c r="D13" t="inlineStr">
        <is>
          <t>Angles</t>
        </is>
      </c>
      <c r="E13" t="n">
        <v>193</v>
      </c>
      <c r="F13" t="inlineStr">
        <is>
          <t>LF</t>
        </is>
      </c>
      <c r="G13" t="n">
        <v>4.9</v>
      </c>
      <c r="H13">
        <f>IF(E13="","",E13*G13)</f>
        <v/>
      </c>
      <c r="I13" t="inlineStr">
        <is>
          <t>Per LF - stock length TBD</t>
        </is>
      </c>
      <c r="J13" s="2" t="n">
        <v>0.08</v>
      </c>
      <c r="K13">
        <f>IF(J13="","",IF(J13&gt;0.3,"HARD FAIL",IF(J13&gt;=0.2,"CAUTION","PASS")))</f>
        <v/>
      </c>
      <c r="L13" t="inlineStr">
        <is>
          <t>SIZE UNCONFIRMED - not specified anywhere found in drawing set. Qty (193 LF) carried from prior draft proposal, not independently verified. A-105 shows a CMU parapet around the flat roof, which may mean no edge angle is structurally needed at all - flag to estimator.</t>
        </is>
      </c>
    </row>
    <row r="14">
      <c r="A14" t="n">
        <v>13</v>
      </c>
      <c r="B14" t="inlineStr">
        <is>
          <t>Loose Lintels - Entry 100 &amp; Lobby 101 ((2)3'-0" doors), L5x3-1/2x5/16 8.7 lb/ft, (2) angles/opening per 8" wall</t>
        </is>
      </c>
      <c r="C14" t="inlineStr">
        <is>
          <t>Classroom wing exterior</t>
        </is>
      </c>
      <c r="D14" t="inlineStr">
        <is>
          <t>Angles</t>
        </is>
      </c>
      <c r="E14" t="n">
        <v>2</v>
      </c>
      <c r="F14" t="inlineStr">
        <is>
          <t>OPENING</t>
        </is>
      </c>
      <c r="G14" t="n">
        <v>133.458</v>
      </c>
      <c r="H14">
        <f>IF(E14="","",E14*G14)</f>
        <v/>
      </c>
      <c r="I14" t="inlineStr">
        <is>
          <t>~7'-8" per angle</t>
        </is>
      </c>
      <c r="J14" s="2" t="n">
        <v>0.08</v>
      </c>
      <c r="K14">
        <f>IF(J14="","",IF(J14&gt;0.3,"HARD FAIL",IF(J14&gt;=0.2,"CAUTION","PASS")))</f>
        <v/>
      </c>
      <c r="L14" t="inlineStr">
        <is>
          <t>Furnish only - zero labor per Arie 2026-07-16. Opening width estimated as door width + standard frame allowance, not a measured dimension.</t>
        </is>
      </c>
    </row>
    <row r="15">
      <c r="A15" t="n">
        <v>14</v>
      </c>
      <c r="B15" t="inlineStr">
        <is>
          <t>Loose Lintels - 10x classroom exterior egress doors (106E,108E,109E,111E,112E,114E,115E,121E,122E,128E), L3-1/2x3-1/2x1/4 5.8 lb/ft</t>
        </is>
      </c>
      <c r="C15" t="inlineStr">
        <is>
          <t>Classroom wing exterior</t>
        </is>
      </c>
      <c r="D15" t="inlineStr">
        <is>
          <t>Angles</t>
        </is>
      </c>
      <c r="E15" t="n">
        <v>10</v>
      </c>
      <c r="F15" t="inlineStr">
        <is>
          <t>OPENING</t>
        </is>
      </c>
      <c r="G15" t="n">
        <v>54.172</v>
      </c>
      <c r="H15">
        <f>IF(E15="","",E15*G15)</f>
        <v/>
      </c>
      <c r="I15" t="inlineStr">
        <is>
          <t>~4'-8" per angle</t>
        </is>
      </c>
      <c r="J15" s="2" t="n">
        <v>0.08</v>
      </c>
      <c r="K15">
        <f>IF(J15="","",IF(J15&gt;0.3,"HARD FAIL",IF(J15&gt;=0.2,"CAUTION","PASS")))</f>
        <v/>
      </c>
      <c r="L15" t="inlineStr">
        <is>
          <t>Furnish only - zero labor. Count verified against A-500 door schedule cross-referenced with A-100 floor plan.</t>
        </is>
      </c>
    </row>
    <row r="16">
      <c r="A16" t="n">
        <v>15</v>
      </c>
      <c r="B16" t="inlineStr">
        <is>
          <t>Loose Lintels - Corridor 133 door (3'-6"), L4x3-1/2x1/4 6.2 lb/ft</t>
        </is>
      </c>
      <c r="C16" t="inlineStr">
        <is>
          <t>Classroom wing exterior</t>
        </is>
      </c>
      <c r="D16" t="inlineStr">
        <is>
          <t>Angles</t>
        </is>
      </c>
      <c r="E16" t="n">
        <v>1</v>
      </c>
      <c r="F16" t="inlineStr">
        <is>
          <t>OPENING</t>
        </is>
      </c>
      <c r="G16" t="n">
        <v>64.108</v>
      </c>
      <c r="H16">
        <f>IF(E16="","",E16*G16)</f>
        <v/>
      </c>
      <c r="I16" t="inlineStr">
        <is>
          <t>~5'-2" per angle</t>
        </is>
      </c>
      <c r="J16" s="2" t="n">
        <v>0.08</v>
      </c>
      <c r="K16">
        <f>IF(J16="","",IF(J16&gt;0.3,"HARD FAIL",IF(J16&gt;=0.2,"CAUTION","PASS")))</f>
        <v/>
      </c>
      <c r="L16" t="inlineStr">
        <is>
          <t>Furnish only - zero labor. Borderline opening size, placed in next tier up conservatively.</t>
        </is>
      </c>
    </row>
    <row r="17">
      <c r="H17">
        <f>IF(E17="","",E17*G17)</f>
        <v/>
      </c>
      <c r="J17" s="2" t="n"/>
      <c r="K17">
        <f>IF(J17="","",IF(J17&gt;0.3,"HARD FAIL",IF(J17&gt;=0.2,"CAUTION","PASS")))</f>
        <v/>
      </c>
    </row>
    <row r="18">
      <c r="H18">
        <f>IF(E18="","",E18*G18)</f>
        <v/>
      </c>
      <c r="J18" s="2" t="n"/>
      <c r="K18">
        <f>IF(J18="","",IF(J18&gt;0.3,"HARD FAIL",IF(J18&gt;=0.2,"CAUTION","PASS")))</f>
        <v/>
      </c>
    </row>
    <row r="19">
      <c r="H19">
        <f>IF(E19="","",E19*G19)</f>
        <v/>
      </c>
      <c r="J19" s="2" t="n"/>
      <c r="K19">
        <f>IF(J19="","",IF(J19&gt;0.3,"HARD FAIL",IF(J19&gt;=0.2,"CAUTION","PASS")))</f>
        <v/>
      </c>
    </row>
    <row r="20">
      <c r="H20">
        <f>IF(E20="","",E20*G20)</f>
        <v/>
      </c>
      <c r="J20" s="2" t="n"/>
      <c r="K20">
        <f>IF(J20="","",IF(J20&gt;0.3,"HARD FAIL",IF(J20&gt;=0.2,"CAUTION","PASS")))</f>
        <v/>
      </c>
    </row>
    <row r="21">
      <c r="H21">
        <f>IF(E21="","",E21*G21)</f>
        <v/>
      </c>
      <c r="J21" s="2" t="n"/>
      <c r="K21">
        <f>IF(J21="","",IF(J21&gt;0.3,"HARD FAIL",IF(J21&gt;=0.2,"CAUTION","PASS")))</f>
        <v/>
      </c>
    </row>
    <row r="22">
      <c r="H22">
        <f>IF(E22="","",E22*G22)</f>
        <v/>
      </c>
      <c r="J22" s="2" t="n"/>
      <c r="K22">
        <f>IF(J22="","",IF(J22&gt;0.3,"HARD FAIL",IF(J22&gt;=0.2,"CAUTION","PASS")))</f>
        <v/>
      </c>
    </row>
    <row r="23">
      <c r="H23">
        <f>IF(E23="","",E23*G23)</f>
        <v/>
      </c>
      <c r="J23" s="2" t="n"/>
      <c r="K23">
        <f>IF(J23="","",IF(J23&gt;0.3,"HARD FAIL",IF(J23&gt;=0.2,"CAUTION","PASS")))</f>
        <v/>
      </c>
    </row>
    <row r="24">
      <c r="H24">
        <f>IF(E24="","",E24*G24)</f>
        <v/>
      </c>
      <c r="J24" s="2" t="n"/>
      <c r="K24">
        <f>IF(J24="","",IF(J24&gt;0.3,"HARD FAIL",IF(J24&gt;=0.2,"CAUTION","PASS")))</f>
        <v/>
      </c>
    </row>
    <row r="25">
      <c r="H25">
        <f>IF(E25="","",E25*G25)</f>
        <v/>
      </c>
      <c r="J25" s="2" t="n"/>
      <c r="K25">
        <f>IF(J25="","",IF(J25&gt;0.3,"HARD FAIL",IF(J25&gt;=0.2,"CAUTION","PASS")))</f>
        <v/>
      </c>
    </row>
    <row r="26">
      <c r="H26">
        <f>IF(E26="","",E26*G26)</f>
        <v/>
      </c>
      <c r="J26" s="2" t="n"/>
      <c r="K26">
        <f>IF(J26="","",IF(J26&gt;0.3,"HARD FAIL",IF(J26&gt;=0.2,"CAUTION","PASS")))</f>
        <v/>
      </c>
    </row>
    <row r="27">
      <c r="H27">
        <f>IF(E27="","",E27*G27)</f>
        <v/>
      </c>
      <c r="J27" s="2" t="n"/>
      <c r="K27">
        <f>IF(J27="","",IF(J27&gt;0.3,"HARD FAIL",IF(J27&gt;=0.2,"CAUTION","PASS")))</f>
        <v/>
      </c>
    </row>
    <row r="28">
      <c r="H28">
        <f>IF(E28="","",E28*G28)</f>
        <v/>
      </c>
      <c r="J28" s="2" t="n"/>
      <c r="K28">
        <f>IF(J28="","",IF(J28&gt;0.3,"HARD FAIL",IF(J28&gt;=0.2,"CAUTION","PASS")))</f>
        <v/>
      </c>
    </row>
    <row r="29">
      <c r="H29">
        <f>IF(E29="","",E29*G29)</f>
        <v/>
      </c>
      <c r="J29" s="2" t="n"/>
      <c r="K29">
        <f>IF(J29="","",IF(J29&gt;0.3,"HARD FAIL",IF(J29&gt;=0.2,"CAUTION","PASS")))</f>
        <v/>
      </c>
    </row>
    <row r="30">
      <c r="H30">
        <f>IF(E30="","",E30*G30)</f>
        <v/>
      </c>
      <c r="J30" s="2" t="n"/>
      <c r="K30">
        <f>IF(J30="","",IF(J30&gt;0.3,"HARD FAIL",IF(J30&gt;=0.2,"CAUTION","PASS")))</f>
        <v/>
      </c>
    </row>
    <row r="31">
      <c r="H31">
        <f>IF(E31="","",E31*G31)</f>
        <v/>
      </c>
      <c r="J31" s="2" t="n"/>
      <c r="K31">
        <f>IF(J31="","",IF(J31&gt;0.3,"HARD FAIL",IF(J31&gt;=0.2,"CAUTION","PASS")))</f>
        <v/>
      </c>
    </row>
  </sheetData>
  <conditionalFormatting sqref="J2:J31">
    <cfRule type="cellIs" priority="1" operator="greaterThan" dxfId="0">
      <formula>0.3</formula>
    </cfRule>
    <cfRule type="cellIs" priority="2" operator="between" dxfId="1">
      <formula>0.2</formula>
      <formula>0.3</formula>
    </cfRule>
    <cfRule type="cellIs" priority="3" operator="lessThan" dxfId="2">
      <formula>0.2</formula>
    </cfRule>
  </conditionalFormatting>
  <dataValidations count="1">
    <dataValidation sqref="D2:D31" showDropDown="0" showInputMessage="0" showErrorMessage="0" allowBlank="1" type="list">
      <formula1>"WF Beams,Tube / HSS,Angles,Channels,Flats,Bent Plate,Burned Plate,Misc Channels"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</cols>
  <sheetData>
    <row r="1">
      <c r="A1" s="1" t="inlineStr">
        <is>
          <t>Material Type</t>
        </is>
      </c>
      <c r="B1" s="1" t="inlineStr">
        <is>
          <t>Total Qty</t>
        </is>
      </c>
      <c r="C1" s="1" t="inlineStr">
        <is>
          <t>Total Weight (lbs)</t>
        </is>
      </c>
    </row>
    <row r="2">
      <c r="A2" t="inlineStr">
        <is>
          <t>WF Beams</t>
        </is>
      </c>
      <c r="B2">
        <f>SUMIF(Takeoff!$D$2:$D$1000,A2,Takeoff!$E$2:$E$1000)</f>
        <v/>
      </c>
      <c r="C2">
        <f>SUMIF(Takeoff!$D$2:$D$1000,A2,Takeoff!$H$2:$H$1000)</f>
        <v/>
      </c>
    </row>
    <row r="3">
      <c r="A3" t="inlineStr">
        <is>
          <t>Tube / HSS</t>
        </is>
      </c>
      <c r="B3">
        <f>SUMIF(Takeoff!$D$2:$D$1000,A3,Takeoff!$E$2:$E$1000)</f>
        <v/>
      </c>
      <c r="C3">
        <f>SUMIF(Takeoff!$D$2:$D$1000,A3,Takeoff!$H$2:$H$1000)</f>
        <v/>
      </c>
    </row>
    <row r="4">
      <c r="A4" t="inlineStr">
        <is>
          <t>Angles</t>
        </is>
      </c>
      <c r="B4">
        <f>SUMIF(Takeoff!$D$2:$D$1000,A4,Takeoff!$E$2:$E$1000)</f>
        <v/>
      </c>
      <c r="C4">
        <f>SUMIF(Takeoff!$D$2:$D$1000,A4,Takeoff!$H$2:$H$1000)</f>
        <v/>
      </c>
    </row>
    <row r="5">
      <c r="A5" t="inlineStr">
        <is>
          <t>Channels</t>
        </is>
      </c>
      <c r="B5">
        <f>SUMIF(Takeoff!$D$2:$D$1000,A5,Takeoff!$E$2:$E$1000)</f>
        <v/>
      </c>
      <c r="C5">
        <f>SUMIF(Takeoff!$D$2:$D$1000,A5,Takeoff!$H$2:$H$1000)</f>
        <v/>
      </c>
    </row>
    <row r="6">
      <c r="A6" t="inlineStr">
        <is>
          <t>Flats</t>
        </is>
      </c>
      <c r="B6">
        <f>SUMIF(Takeoff!$D$2:$D$1000,A6,Takeoff!$E$2:$E$1000)</f>
        <v/>
      </c>
      <c r="C6">
        <f>SUMIF(Takeoff!$D$2:$D$1000,A6,Takeoff!$H$2:$H$1000)</f>
        <v/>
      </c>
    </row>
    <row r="7">
      <c r="A7" t="inlineStr">
        <is>
          <t>Bent Plate</t>
        </is>
      </c>
      <c r="B7">
        <f>SUMIF(Takeoff!$D$2:$D$1000,A7,Takeoff!$E$2:$E$1000)</f>
        <v/>
      </c>
      <c r="C7">
        <f>SUMIF(Takeoff!$D$2:$D$1000,A7,Takeoff!$H$2:$H$1000)</f>
        <v/>
      </c>
    </row>
    <row r="8">
      <c r="A8" t="inlineStr">
        <is>
          <t>Burned Plate</t>
        </is>
      </c>
      <c r="B8">
        <f>SUMIF(Takeoff!$D$2:$D$1000,A8,Takeoff!$E$2:$E$1000)</f>
        <v/>
      </c>
      <c r="C8">
        <f>SUMIF(Takeoff!$D$2:$D$1000,A8,Takeoff!$H$2:$H$1000)</f>
        <v/>
      </c>
    </row>
    <row r="9">
      <c r="A9" t="inlineStr">
        <is>
          <t>Misc Channels</t>
        </is>
      </c>
      <c r="B9">
        <f>SUMIF(Takeoff!$D$2:$D$1000,A9,Takeoff!$E$2:$E$1000)</f>
        <v/>
      </c>
      <c r="C9">
        <f>SUMIF(Takeoff!$D$2:$D$1000,A9,Takeoff!$H$2:$H$1000)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Takeoff Template</t>
        </is>
      </c>
    </row>
    <row r="3" ht="40" customHeight="1">
      <c r="A3" s="4" t="inlineStr">
        <is>
          <t>Material Type list (col D) mirrors reference/rates.md Material Buy Rates. Waste % (col J) is entered manually per line; Waste Flag (col K) applies the resolved 3-tier rule from reference/scope-rules.md Section 3 (still marked [CONFIRM WITH ARIE]).</t>
        </is>
      </c>
    </row>
    <row r="5">
      <c r="A5" t="inlineStr">
        <is>
          <t>EXCLUDED FROM THIS TAKEOFF (per Arie 2026-07-16): Dumpster/trash gate steel (out of scope), Fall Protection Anchors (not in scope), Grating (not in scope).</t>
        </is>
      </c>
    </row>
    <row r="6">
      <c r="A6" t="inlineStr">
        <is>
          <t>NOT PRICED - NO RATE BASIS: LH Joists (11 EA, 48LH10) + Metal Deck (45 sq / 4,500 SF) - Joist &amp; Deck package requires a supplier quote; rates.md has no per-joist or per-SF rate. See Bid Summary 'Joist &amp; Deck Cost (input)' - currently $0, needs a real quote before this bid is usable.</t>
        </is>
      </c>
    </row>
    <row r="7">
      <c r="A7" t="inlineStr">
        <is>
          <t>8% waste assumed across all steel (HSS/WF/Angles) - no stock-length optimization performed, planning-stage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2026-07-16T16:54:53Z</dcterms:created>
  <dcterms:modified xsi:type="dcterms:W3CDTF">2026-07-16T20:04:22Z</dcterms:modified>
</cp:coreProperties>
</file>