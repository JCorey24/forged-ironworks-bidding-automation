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ates" sheetId="2" state="visible" r:id="rId2"/>
    <sheet name="Section 5 - Pricing" sheetId="3" state="visible" r:id="rId3"/>
    <sheet name="Buyout &amp; Hardware" sheetId="4" state="visible" r:id="rId4"/>
    <sheet name="Bi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166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Bid Inputs</t>
        </is>
      </c>
    </row>
    <row r="3">
      <c r="A3" s="2" t="inlineStr">
        <is>
          <t>Project Name</t>
        </is>
      </c>
      <c r="B3" t="inlineStr">
        <is>
          <t>Alphabet Academy</t>
        </is>
      </c>
    </row>
    <row r="4">
      <c r="A4" s="2" t="inlineStr">
        <is>
          <t>Client</t>
        </is>
      </c>
      <c r="B4" t="inlineStr">
        <is>
          <t>GPC Construction</t>
        </is>
      </c>
    </row>
    <row r="5">
      <c r="A5" s="2" t="inlineStr">
        <is>
          <t>Bid #</t>
        </is>
      </c>
      <c r="B5" t="inlineStr">
        <is>
          <t>AA25-188 (TEST RUN)</t>
        </is>
      </c>
    </row>
    <row r="6">
      <c r="A6" s="2" t="inlineStr">
        <is>
          <t>Scope Type</t>
        </is>
      </c>
      <c r="B6" t="inlineStr">
        <is>
          <t>Furnish &amp; Erect (F&amp;E)</t>
        </is>
      </c>
    </row>
    <row r="7">
      <c r="A7" s="2" t="inlineStr">
        <is>
          <t>Tax Exempt (signed cert on file)?</t>
        </is>
      </c>
      <c r="B7" t="inlineStr">
        <is>
          <t>No</t>
        </is>
      </c>
    </row>
    <row r="8">
      <c r="A8" s="2" t="inlineStr">
        <is>
          <t>Tax Rate (%)</t>
        </is>
      </c>
      <c r="B8" s="3" t="n">
        <v>0.07000000000000001</v>
      </c>
    </row>
    <row r="9">
      <c r="A9" s="2" t="inlineStr">
        <is>
          <t>Profit Floor (%) [CONFIRM WITH ARIE - see scope-rules.md #4]</t>
        </is>
      </c>
      <c r="B9" s="3" t="n">
        <v>0.117</v>
      </c>
    </row>
    <row r="10">
      <c r="A10" s="2" t="inlineStr">
        <is>
          <t>J&amp;D Markup (%)</t>
        </is>
      </c>
      <c r="B10" s="3" t="n">
        <v>0.1</v>
      </c>
    </row>
    <row r="11">
      <c r="A11" s="2" t="inlineStr">
        <is>
          <t>Target Overall Margin (%) [CONFIRM WITH ARIE]</t>
        </is>
      </c>
      <c r="B11" s="3" t="n">
        <v>0.1</v>
      </c>
    </row>
    <row r="12">
      <c r="A12" s="2" t="inlineStr">
        <is>
          <t>Rounding Increment ($ - SOP allows 500 or 1,000)</t>
        </is>
      </c>
      <c r="B12" s="4" t="n">
        <v>500</v>
      </c>
    </row>
    <row r="13">
      <c r="A13" s="2" t="inlineStr">
        <is>
          <t>Quote Valid (days)</t>
        </is>
      </c>
      <c r="B13" t="n">
        <v>14</v>
      </c>
    </row>
    <row r="14">
      <c r="A14" s="2" t="inlineStr">
        <is>
          <t>Erection Delay Charge ($)</t>
        </is>
      </c>
      <c r="B14" s="4" t="n">
        <v>1500</v>
      </c>
    </row>
  </sheetData>
  <dataValidations count="2">
    <dataValidation sqref="B6" showDropDown="0" showInputMessage="0" showErrorMessage="0" allowBlank="0" type="list">
      <formula1>"Furnish &amp; Erect (F&amp;E),Erect Only"</formula1>
    </dataValidation>
    <dataValidation sqref="B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2" customWidth="1" min="4" max="4"/>
    <col width="46" customWidth="1" min="5" max="5"/>
  </cols>
  <sheetData>
    <row r="1">
      <c r="A1" s="2" t="inlineStr">
        <is>
          <t>Rates (mirror of reference/rates.md — keep in sync, that file wins on conflict)</t>
        </is>
      </c>
    </row>
    <row r="3">
      <c r="A3" s="5" t="inlineStr">
        <is>
          <t>Category</t>
        </is>
      </c>
      <c r="B3" s="5" t="inlineStr">
        <is>
          <t>Item</t>
        </is>
      </c>
      <c r="C3" s="5" t="inlineStr">
        <is>
          <t>Unit</t>
        </is>
      </c>
      <c r="D3" s="5" t="inlineStr">
        <is>
          <t>Rate</t>
        </is>
      </c>
      <c r="E3" s="5" t="inlineStr">
        <is>
          <t>Notes</t>
        </is>
      </c>
    </row>
    <row r="4">
      <c r="A4" t="inlineStr">
        <is>
          <t>Material Buy Rate</t>
        </is>
      </c>
      <c r="B4" t="inlineStr">
        <is>
          <t>WF Beams</t>
        </is>
      </c>
      <c r="C4" t="inlineStr">
        <is>
          <t>$/lb</t>
        </is>
      </c>
      <c r="D4" t="n">
        <v>1.2</v>
      </c>
      <c r="E4" t="inlineStr">
        <is>
          <t>ASTM A992 Gr. 50 (Cost Code 50004)</t>
        </is>
      </c>
    </row>
    <row r="5">
      <c r="A5" t="inlineStr">
        <is>
          <t>Material Buy Rate</t>
        </is>
      </c>
      <c r="B5" t="inlineStr">
        <is>
          <t>Tube / HSS</t>
        </is>
      </c>
      <c r="C5" t="inlineStr">
        <is>
          <t>$/lb</t>
        </is>
      </c>
      <c r="D5" t="n">
        <v>1.06</v>
      </c>
      <c r="E5" t="inlineStr">
        <is>
          <t>ASTM A500 Gr. B (Cost Code 50004)</t>
        </is>
      </c>
    </row>
    <row r="6">
      <c r="A6" t="inlineStr">
        <is>
          <t>Material Buy Rate</t>
        </is>
      </c>
      <c r="B6" t="inlineStr">
        <is>
          <t>Angles</t>
        </is>
      </c>
      <c r="C6" t="inlineStr">
        <is>
          <t>$/lb</t>
        </is>
      </c>
      <c r="D6" t="n">
        <v>0.87</v>
      </c>
      <c r="E6" t="inlineStr">
        <is>
          <t>ASTM A36 (Cost Code 50004)</t>
        </is>
      </c>
    </row>
    <row r="7">
      <c r="A7" t="inlineStr">
        <is>
          <t>Material Buy Rate</t>
        </is>
      </c>
      <c r="B7" t="inlineStr">
        <is>
          <t>Channels</t>
        </is>
      </c>
      <c r="C7" t="inlineStr">
        <is>
          <t>$/lb</t>
        </is>
      </c>
      <c r="D7" t="n">
        <v>0.93</v>
      </c>
      <c r="E7" t="inlineStr">
        <is>
          <t>ASTM A36 (Cost Code 50004)</t>
        </is>
      </c>
    </row>
    <row r="8">
      <c r="A8" t="inlineStr">
        <is>
          <t>Material Buy Rate</t>
        </is>
      </c>
      <c r="B8" t="inlineStr">
        <is>
          <t>Flats</t>
        </is>
      </c>
      <c r="C8" t="inlineStr">
        <is>
          <t>$/lb</t>
        </is>
      </c>
      <c r="D8" t="n">
        <v>0.84</v>
      </c>
      <c r="E8" t="inlineStr">
        <is>
          <t>ASTM A36 (Cost Code 50004)</t>
        </is>
      </c>
    </row>
    <row r="9">
      <c r="A9" t="inlineStr">
        <is>
          <t>Material Buy Rate</t>
        </is>
      </c>
      <c r="B9" t="inlineStr">
        <is>
          <t>Bent Plate</t>
        </is>
      </c>
      <c r="C9" t="inlineStr">
        <is>
          <t>$/lb</t>
        </is>
      </c>
      <c r="D9" t="n">
        <v>1.35</v>
      </c>
      <c r="E9" t="inlineStr">
        <is>
          <t>ASTM A36 (Cost Code 50004)</t>
        </is>
      </c>
    </row>
    <row r="10">
      <c r="A10" t="inlineStr">
        <is>
          <t>Material Buy Rate</t>
        </is>
      </c>
      <c r="B10" t="inlineStr">
        <is>
          <t>Burned Plate</t>
        </is>
      </c>
      <c r="C10" t="inlineStr">
        <is>
          <t>$/lb</t>
        </is>
      </c>
      <c r="D10" t="n">
        <v>1.5</v>
      </c>
      <c r="E10" t="inlineStr">
        <is>
          <t>ASTM A36 (Cost Code 50004)</t>
        </is>
      </c>
    </row>
    <row r="11">
      <c r="A11" t="inlineStr">
        <is>
          <t>Material Buy Rate</t>
        </is>
      </c>
      <c r="B11" t="inlineStr">
        <is>
          <t>Misc Channels</t>
        </is>
      </c>
      <c r="C11" t="inlineStr">
        <is>
          <t>$/lb</t>
        </is>
      </c>
      <c r="D11" t="n">
        <v>1.12</v>
      </c>
      <c r="E11" t="inlineStr">
        <is>
          <t>ASTM A36 (Cost Code 50004)</t>
        </is>
      </c>
    </row>
    <row r="12">
      <c r="A12" t="inlineStr">
        <is>
          <t>Hardware</t>
        </is>
      </c>
      <c r="B12" t="inlineStr">
        <is>
          <t>Anchor Bolts</t>
        </is>
      </c>
      <c r="C12" t="inlineStr">
        <is>
          <t>$/EA</t>
        </is>
      </c>
      <c r="D12" t="n">
        <v>35</v>
      </c>
      <c r="E12" t="inlineStr">
        <is>
          <t>Cost Code 50004</t>
        </is>
      </c>
    </row>
    <row r="13">
      <c r="A13" t="inlineStr">
        <is>
          <t>Hardware</t>
        </is>
      </c>
      <c r="B13" t="inlineStr">
        <is>
          <t>Shear Studs</t>
        </is>
      </c>
      <c r="C13" t="inlineStr">
        <is>
          <t>$/EA</t>
        </is>
      </c>
      <c r="D13" t="n">
        <v>4.5</v>
      </c>
      <c r="E13" t="inlineStr">
        <is>
          <t>If composite deck (Cost Code 50004)</t>
        </is>
      </c>
    </row>
    <row r="14">
      <c r="A14" t="inlineStr">
        <is>
          <t>Hardware</t>
        </is>
      </c>
      <c r="B14" t="inlineStr">
        <is>
          <t>Field Bolts</t>
        </is>
      </c>
      <c r="C14" t="inlineStr">
        <is>
          <t>$/EA</t>
        </is>
      </c>
      <c r="D14" t="n">
        <v>75</v>
      </c>
      <c r="E14" t="inlineStr">
        <is>
          <t>A325N (Cost Code 50005)</t>
        </is>
      </c>
    </row>
    <row r="15">
      <c r="A15" t="inlineStr">
        <is>
          <t>Hardware</t>
        </is>
      </c>
      <c r="B15" t="inlineStr">
        <is>
          <t>Epoxy Anchors</t>
        </is>
      </c>
      <c r="C15" t="inlineStr">
        <is>
          <t>$/EA</t>
        </is>
      </c>
      <c r="D15" t="n">
        <v>75</v>
      </c>
      <c r="E15" t="inlineStr">
        <is>
          <t>Cost Code 50004</t>
        </is>
      </c>
    </row>
    <row r="16">
      <c r="A16" t="inlineStr">
        <is>
          <t>Hardware</t>
        </is>
      </c>
      <c r="B16" t="inlineStr">
        <is>
          <t>Bollards</t>
        </is>
      </c>
      <c r="C16" t="inlineStr">
        <is>
          <t>$/EA</t>
        </is>
      </c>
      <c r="D16" t="n">
        <v>195</v>
      </c>
      <c r="E16" t="inlineStr">
        <is>
          <t>Furnish only (Cost Code 50004)</t>
        </is>
      </c>
    </row>
    <row r="17">
      <c r="A17" t="inlineStr">
        <is>
          <t>Service &amp; Processing</t>
        </is>
      </c>
      <c r="B17" t="inlineStr">
        <is>
          <t>Painting</t>
        </is>
      </c>
      <c r="C17" t="inlineStr">
        <is>
          <t>$/hr</t>
        </is>
      </c>
      <c r="D17" t="n">
        <v>75</v>
      </c>
      <c r="E17" t="inlineStr">
        <is>
          <t>Applied to painted lbs</t>
        </is>
      </c>
    </row>
    <row r="18">
      <c r="A18" t="inlineStr">
        <is>
          <t>Service &amp; Processing</t>
        </is>
      </c>
      <c r="B18" t="inlineStr">
        <is>
          <t>Galvanizing</t>
        </is>
      </c>
      <c r="C18" t="inlineStr">
        <is>
          <t>$/lb</t>
        </is>
      </c>
      <c r="D18" t="n">
        <v>0.55</v>
      </c>
      <c r="E18" t="inlineStr">
        <is>
          <t>Applied to galvanized lbs</t>
        </is>
      </c>
    </row>
    <row r="19">
      <c r="A19" t="inlineStr">
        <is>
          <t>Service &amp; Processing</t>
        </is>
      </c>
      <c r="B19" t="inlineStr">
        <is>
          <t>Sales Tax</t>
        </is>
      </c>
      <c r="C19" t="inlineStr">
        <is>
          <t>%</t>
        </is>
      </c>
      <c r="D19" t="n">
        <v>0.07000000000000001</v>
      </c>
      <c r="E19" t="inlineStr">
        <is>
          <t>See scope-rules.md Section 2 for taxable/non-taxable split</t>
        </is>
      </c>
    </row>
    <row r="20">
      <c r="A20" t="inlineStr">
        <is>
          <t>Service &amp; Processing</t>
        </is>
      </c>
      <c r="B20" t="inlineStr">
        <is>
          <t>Engineering</t>
        </is>
      </c>
      <c r="C20" t="inlineStr">
        <is>
          <t>$/ton</t>
        </is>
      </c>
      <c r="D20" t="n">
        <v>50</v>
      </c>
      <c r="E20" t="inlineStr">
        <is>
          <t>Only if required</t>
        </is>
      </c>
    </row>
    <row r="21">
      <c r="A21" t="inlineStr">
        <is>
          <t>Service &amp; Processing</t>
        </is>
      </c>
      <c r="B21" t="inlineStr">
        <is>
          <t>Detailing</t>
        </is>
      </c>
      <c r="C21" t="inlineStr">
        <is>
          <t>$/ton</t>
        </is>
      </c>
      <c r="D21" t="n">
        <v>250</v>
      </c>
      <c r="E21" t="inlineStr">
        <is>
          <t>Applied to total tonnage</t>
        </is>
      </c>
    </row>
    <row r="22">
      <c r="A22" t="inlineStr">
        <is>
          <t>Service &amp; Processing</t>
        </is>
      </c>
      <c r="B22" t="inlineStr">
        <is>
          <t>Shop Labor</t>
        </is>
      </c>
      <c r="C22" t="inlineStr">
        <is>
          <t>$/hr</t>
        </is>
      </c>
      <c r="D22" t="n">
        <v>75</v>
      </c>
      <c r="E22" t="inlineStr">
        <is>
          <t>Tons x 10 = shop hours</t>
        </is>
      </c>
    </row>
    <row r="23">
      <c r="A23" t="inlineStr">
        <is>
          <t>Service &amp; Processing</t>
        </is>
      </c>
      <c r="B23" t="inlineStr">
        <is>
          <t>Outbound Freight</t>
        </is>
      </c>
      <c r="C23" t="inlineStr">
        <is>
          <t>$/load</t>
        </is>
      </c>
      <c r="D23" t="n">
        <v>1200</v>
      </c>
      <c r="E23" t="inlineStr">
        <is>
          <t>Per truck</t>
        </is>
      </c>
    </row>
    <row r="24">
      <c r="A24" t="inlineStr">
        <is>
          <t>Service &amp; Processing</t>
        </is>
      </c>
      <c r="B24" t="inlineStr">
        <is>
          <t>J&amp;D Markup</t>
        </is>
      </c>
      <c r="C24" t="inlineStr">
        <is>
          <t>%</t>
        </is>
      </c>
      <c r="D24" t="n">
        <v>0.1</v>
      </c>
      <c r="E24" t="inlineStr">
        <is>
          <t>Applied to joist &amp; deck cost, before tax</t>
        </is>
      </c>
    </row>
    <row r="25">
      <c r="A25" t="inlineStr">
        <is>
          <t>Erection Labor</t>
        </is>
      </c>
      <c r="B25" t="inlineStr">
        <is>
          <t>Local (&lt; 50 miles)</t>
        </is>
      </c>
      <c r="C25" t="inlineStr">
        <is>
          <t>$/hr</t>
        </is>
      </c>
      <c r="D25" t="n">
        <v>75</v>
      </c>
      <c r="E25" t="inlineStr">
        <is>
          <t>Standard rate</t>
        </is>
      </c>
    </row>
    <row r="26">
      <c r="A26" t="inlineStr">
        <is>
          <t>Erection Labor</t>
        </is>
      </c>
      <c r="B26" t="inlineStr">
        <is>
          <t>Regional (50-100 miles)</t>
        </is>
      </c>
      <c r="C26" t="inlineStr">
        <is>
          <t>$/hr</t>
        </is>
      </c>
      <c r="D26" t="n">
        <v>82</v>
      </c>
    </row>
    <row r="27">
      <c r="A27" t="inlineStr">
        <is>
          <t>Erection Labor</t>
        </is>
      </c>
      <c r="B27" t="inlineStr">
        <is>
          <t>Overnight / Travel (&gt; 100 mi)</t>
        </is>
      </c>
      <c r="C27" t="inlineStr">
        <is>
          <t>$/hr</t>
        </is>
      </c>
      <c r="D27" t="n">
        <v>95</v>
      </c>
      <c r="E27" t="inlineStr">
        <is>
          <t>+ per diem $65/man/day + hotel ~$175/night (2 men/room)</t>
        </is>
      </c>
    </row>
    <row r="28">
      <c r="A28" t="inlineStr">
        <is>
          <t>Equipment</t>
        </is>
      </c>
      <c r="B28" t="inlineStr">
        <is>
          <t>Crane</t>
        </is>
      </c>
      <c r="C28" t="inlineStr">
        <is>
          <t>$/hr</t>
        </is>
      </c>
      <c r="D28" t="n">
        <v>300</v>
      </c>
      <c r="E28" t="inlineStr">
        <is>
          <t>$80/hr if RAD crane</t>
        </is>
      </c>
    </row>
    <row r="29">
      <c r="A29" t="inlineStr">
        <is>
          <t>Equipment</t>
        </is>
      </c>
      <c r="B29" t="inlineStr">
        <is>
          <t>Lull / Telehandler</t>
        </is>
      </c>
      <c r="C29" t="inlineStr">
        <is>
          <t>$/wk</t>
        </is>
      </c>
      <c r="D29" t="n">
        <v>1500</v>
      </c>
    </row>
    <row r="30">
      <c r="A30" t="inlineStr">
        <is>
          <t>Equipment</t>
        </is>
      </c>
      <c r="B30" t="inlineStr">
        <is>
          <t>Boom Lift</t>
        </is>
      </c>
      <c r="C30" t="inlineStr">
        <is>
          <t>$/wk</t>
        </is>
      </c>
      <c r="D30" t="n">
        <v>1225</v>
      </c>
    </row>
    <row r="31">
      <c r="A31" t="inlineStr">
        <is>
          <t>Equipment</t>
        </is>
      </c>
      <c r="B31" t="inlineStr">
        <is>
          <t>Scissor Lift</t>
        </is>
      </c>
      <c r="C31" t="inlineStr">
        <is>
          <t>$/wk</t>
        </is>
      </c>
      <c r="D31" t="n">
        <v>600</v>
      </c>
    </row>
    <row r="32">
      <c r="A32" t="inlineStr">
        <is>
          <t>Equipment</t>
        </is>
      </c>
      <c r="B32" t="inlineStr">
        <is>
          <t>Welder (machine)</t>
        </is>
      </c>
      <c r="C32" t="inlineStr">
        <is>
          <t>$/wk</t>
        </is>
      </c>
      <c r="D32" t="n">
        <v>200</v>
      </c>
    </row>
    <row r="33">
      <c r="A33" t="inlineStr">
        <is>
          <t>Equipment</t>
        </is>
      </c>
      <c r="B33" t="inlineStr">
        <is>
          <t>Scaffold</t>
        </is>
      </c>
      <c r="C33" t="inlineStr">
        <is>
          <t>$/day/floor</t>
        </is>
      </c>
      <c r="D33" t="n">
        <v>1000</v>
      </c>
    </row>
    <row r="34">
      <c r="A34" t="inlineStr">
        <is>
          <t>Equipment</t>
        </is>
      </c>
      <c r="B34" t="inlineStr">
        <is>
          <t>Perimeter Cable</t>
        </is>
      </c>
      <c r="C34" t="inlineStr">
        <is>
          <t>$/day/ft</t>
        </is>
      </c>
      <c r="D34" t="n">
        <v>25</v>
      </c>
    </row>
    <row r="35">
      <c r="A35" t="inlineStr">
        <is>
          <t>Equipment</t>
        </is>
      </c>
      <c r="B35" t="inlineStr">
        <is>
          <t>Equipment Delivery</t>
        </is>
      </c>
      <c r="C35" t="inlineStr">
        <is>
          <t>$/EA</t>
        </is>
      </c>
      <c r="D35" t="n">
        <v>1000</v>
      </c>
    </row>
    <row r="36">
      <c r="A36" t="inlineStr">
        <is>
          <t>Equipment</t>
        </is>
      </c>
      <c r="B36" t="inlineStr">
        <is>
          <t>Material Delivery</t>
        </is>
      </c>
      <c r="C36" t="inlineStr">
        <is>
          <t>$/load</t>
        </is>
      </c>
      <c r="D36" t="n">
        <v>1200</v>
      </c>
    </row>
    <row r="37">
      <c r="A37" t="inlineStr">
        <is>
          <t>Misc Scope Item</t>
        </is>
      </c>
      <c r="B37" t="inlineStr">
        <is>
          <t>Dumpster / Trash Gates</t>
        </is>
      </c>
      <c r="C37" t="inlineStr">
        <is>
          <t>$/EA</t>
        </is>
      </c>
      <c r="D37" t="n">
        <v>5000</v>
      </c>
    </row>
    <row r="38">
      <c r="A38" t="inlineStr">
        <is>
          <t>Misc Scope Item</t>
        </is>
      </c>
      <c r="B38" t="inlineStr">
        <is>
          <t>Roof Access Ladder</t>
        </is>
      </c>
      <c r="C38" t="inlineStr">
        <is>
          <t>$/EA</t>
        </is>
      </c>
      <c r="D38" t="n">
        <v>2103</v>
      </c>
      <c r="E38" t="inlineStr">
        <is>
          <t>Buyout price - verify VLF</t>
        </is>
      </c>
    </row>
    <row r="39">
      <c r="A39" t="inlineStr">
        <is>
          <t>Misc Scope Item</t>
        </is>
      </c>
      <c r="B39" t="inlineStr">
        <is>
          <t>Steel Railing - 2-Line</t>
        </is>
      </c>
      <c r="C39" t="inlineStr">
        <is>
          <t>$/LF</t>
        </is>
      </c>
      <c r="D39" t="n">
        <v>200</v>
      </c>
    </row>
    <row r="40">
      <c r="A40" t="inlineStr">
        <is>
          <t>Misc Scope Item</t>
        </is>
      </c>
      <c r="B40" t="inlineStr">
        <is>
          <t>Repair Rail</t>
        </is>
      </c>
      <c r="C40" t="inlineStr">
        <is>
          <t>$/LF</t>
        </is>
      </c>
      <c r="D40" t="n">
        <v>200</v>
      </c>
    </row>
    <row r="41">
      <c r="A41" t="inlineStr">
        <is>
          <t>Misc Scope Item</t>
        </is>
      </c>
      <c r="B41" t="inlineStr">
        <is>
          <t>Cable Railing</t>
        </is>
      </c>
      <c r="C41" t="inlineStr">
        <is>
          <t>$/LF</t>
        </is>
      </c>
      <c r="D41" t="n">
        <v>650</v>
      </c>
    </row>
    <row r="42">
      <c r="A42" t="inlineStr">
        <is>
          <t>Misc Scope Item</t>
        </is>
      </c>
      <c r="B42" t="inlineStr">
        <is>
          <t>Wall Fix (railing)</t>
        </is>
      </c>
      <c r="C42" t="inlineStr">
        <is>
          <t>$/EA</t>
        </is>
      </c>
      <c r="D42" t="n">
        <v>800</v>
      </c>
    </row>
    <row r="43">
      <c r="A43" t="inlineStr">
        <is>
          <t>Misc Scope Item</t>
        </is>
      </c>
      <c r="B43" t="inlineStr">
        <is>
          <t>Pipe Bollards</t>
        </is>
      </c>
      <c r="C43" t="inlineStr">
        <is>
          <t>$/EA</t>
        </is>
      </c>
      <c r="D43" t="n">
        <v>195</v>
      </c>
      <c r="E43" t="inlineStr">
        <is>
          <t>Furnish only</t>
        </is>
      </c>
    </row>
    <row r="44">
      <c r="A44" t="inlineStr">
        <is>
          <t>Misc Scope Item</t>
        </is>
      </c>
      <c r="B44" t="inlineStr">
        <is>
          <t>Grating</t>
        </is>
      </c>
      <c r="C44" t="inlineStr">
        <is>
          <t>N/A</t>
        </is>
      </c>
      <c r="E44" t="inlineStr">
        <is>
          <t>No standard rate - price by SF or LF per job</t>
        </is>
      </c>
    </row>
    <row r="45">
      <c r="A45" t="inlineStr">
        <is>
          <t>Misc Scope Item</t>
        </is>
      </c>
      <c r="B45" t="inlineStr">
        <is>
          <t>Fall Protection Anchors</t>
        </is>
      </c>
      <c r="C45" t="inlineStr">
        <is>
          <t>N/A</t>
        </is>
      </c>
      <c r="E45" t="inlineStr">
        <is>
          <t>Quote per install</t>
        </is>
      </c>
    </row>
    <row r="46">
      <c r="A46" t="inlineStr">
        <is>
          <t>Production Benchmark</t>
        </is>
      </c>
      <c r="B46" t="inlineStr">
        <is>
          <t>Columns (set &amp; detail)</t>
        </is>
      </c>
      <c r="C46" t="inlineStr">
        <is>
          <t>pcs/day</t>
        </is>
      </c>
      <c r="D46" t="n">
        <v>9</v>
      </c>
      <c r="E46" t="inlineStr">
        <is>
          <t>Adjust for height &amp; connections</t>
        </is>
      </c>
    </row>
    <row r="47">
      <c r="A47" t="inlineStr">
        <is>
          <t>Production Benchmark</t>
        </is>
      </c>
      <c r="B47" t="inlineStr">
        <is>
          <t>Beams</t>
        </is>
      </c>
      <c r="C47" t="inlineStr">
        <is>
          <t>pcs/day</t>
        </is>
      </c>
      <c r="D47" t="n">
        <v>9</v>
      </c>
      <c r="E47" t="inlineStr">
        <is>
          <t>Adjust for moment connections</t>
        </is>
      </c>
    </row>
    <row r="48">
      <c r="A48" t="inlineStr">
        <is>
          <t>Production Benchmark</t>
        </is>
      </c>
      <c r="B48" t="inlineStr">
        <is>
          <t>Joists (K-series)</t>
        </is>
      </c>
      <c r="C48" t="inlineStr">
        <is>
          <t>pcs/day</t>
        </is>
      </c>
      <c r="D48" t="n">
        <v>192</v>
      </c>
    </row>
    <row r="49">
      <c r="A49" t="inlineStr">
        <is>
          <t>Production Benchmark</t>
        </is>
      </c>
      <c r="B49" t="inlineStr">
        <is>
          <t>Perimeter Angle</t>
        </is>
      </c>
      <c r="C49" t="inlineStr">
        <is>
          <t>LF/hr</t>
        </is>
      </c>
      <c r="D49" t="n">
        <v>38.4</v>
      </c>
      <c r="E49" t="inlineStr">
        <is>
          <t>Continuous runs</t>
        </is>
      </c>
    </row>
    <row r="50">
      <c r="A50" t="inlineStr">
        <is>
          <t>Production Benchmark</t>
        </is>
      </c>
      <c r="B50" t="inlineStr">
        <is>
          <t>Metal Deck</t>
        </is>
      </c>
      <c r="C50" t="inlineStr">
        <is>
          <t>sq/day</t>
        </is>
      </c>
      <c r="D50" t="n">
        <v>45</v>
      </c>
      <c r="E50" t="inlineStr">
        <is>
          <t>Per square (100 SF)</t>
        </is>
      </c>
    </row>
    <row r="51">
      <c r="A51" t="inlineStr">
        <is>
          <t>Production Benchmark</t>
        </is>
      </c>
      <c r="B51" t="inlineStr">
        <is>
          <t>Shop Labor multiplier</t>
        </is>
      </c>
      <c r="C51" t="inlineStr">
        <is>
          <t>hrs/ton</t>
        </is>
      </c>
      <c r="D51" t="n">
        <v>10</v>
      </c>
      <c r="E51" t="inlineStr">
        <is>
          <t>Tons x 10 = shop hours</t>
        </is>
      </c>
    </row>
    <row r="52">
      <c r="A52" t="inlineStr">
        <is>
          <t>Production Benchmark</t>
        </is>
      </c>
      <c r="B52" t="inlineStr">
        <is>
          <t>Crane hrs (from erect hrs)</t>
        </is>
      </c>
      <c r="C52" t="inlineStr">
        <is>
          <t>erect hrs / 9.75</t>
        </is>
      </c>
      <c r="E52" t="inlineStr">
        <is>
          <t>Erect hrs / 9.75 = crane hrs (calibrate per job)</t>
        </is>
      </c>
    </row>
    <row r="53">
      <c r="A53" t="inlineStr">
        <is>
          <t>Profit / Sanity Check</t>
        </is>
      </c>
      <c r="B53" t="inlineStr">
        <is>
          <t>Minimum profit line</t>
        </is>
      </c>
      <c r="C53" t="inlineStr">
        <is>
          <t>%</t>
        </is>
      </c>
      <c r="D53" t="n">
        <v>0.045</v>
      </c>
      <c r="E53" t="inlineStr">
        <is>
          <t>Of Sub Total [CONFIRM WITH ARIE]</t>
        </is>
      </c>
    </row>
    <row r="54">
      <c r="A54" t="inlineStr">
        <is>
          <t>Profit / Sanity Check</t>
        </is>
      </c>
      <c r="B54" t="inlineStr">
        <is>
          <t>Target overall margin</t>
        </is>
      </c>
      <c r="C54" t="inlineStr">
        <is>
          <t>%</t>
        </is>
      </c>
      <c r="D54" t="n">
        <v>0.1</v>
      </c>
      <c r="E54" t="inlineStr">
        <is>
          <t>Profit / Grand Total [CONFIRM WITH ARIE]</t>
        </is>
      </c>
    </row>
    <row r="55">
      <c r="A55" t="inlineStr">
        <is>
          <t>Profit / Sanity Check</t>
        </is>
      </c>
      <c r="B55" t="inlineStr">
        <is>
          <t>Standard markup</t>
        </is>
      </c>
      <c r="C55" t="inlineStr">
        <is>
          <t>x</t>
        </is>
      </c>
      <c r="D55" t="n">
        <v>1.12</v>
      </c>
      <c r="E55" t="inlineStr">
        <is>
          <t>Grand Total / Total Cost</t>
        </is>
      </c>
    </row>
    <row r="56">
      <c r="A56" t="inlineStr">
        <is>
          <t>Profit / Sanity Check</t>
        </is>
      </c>
      <c r="B56" t="inlineStr">
        <is>
          <t>Quote rounding</t>
        </is>
      </c>
      <c r="C56" t="inlineStr">
        <is>
          <t>$</t>
        </is>
      </c>
      <c r="E56" t="inlineStr">
        <is>
          <t>Round UP to nearest $500 or $1,000 above calculated total</t>
        </is>
      </c>
    </row>
    <row r="57">
      <c r="A57" t="inlineStr">
        <is>
          <t>Profit / Sanity Check</t>
        </is>
      </c>
      <c r="B57" t="inlineStr">
        <is>
          <t>Quote valid</t>
        </is>
      </c>
      <c r="C57" t="inlineStr">
        <is>
          <t>days</t>
        </is>
      </c>
      <c r="D57" t="n">
        <v>14</v>
      </c>
      <c r="E57" t="inlineStr">
        <is>
          <t>After 14 days, subject to review</t>
        </is>
      </c>
    </row>
    <row r="58">
      <c r="A58" t="inlineStr">
        <is>
          <t>Profit / Sanity Check</t>
        </is>
      </c>
      <c r="B58" t="inlineStr">
        <is>
          <t>Erection delay charge</t>
        </is>
      </c>
      <c r="C58" t="inlineStr">
        <is>
          <t>$</t>
        </is>
      </c>
      <c r="D58" t="n">
        <v>1500</v>
      </c>
      <c r="E58" t="inlineStr">
        <is>
          <t>If FIW unable to erect at time of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4" customWidth="1" min="4" max="4"/>
    <col width="16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" t="inlineStr">
        <is>
          <t>Item #</t>
        </is>
      </c>
      <c r="B1" s="5" t="inlineStr">
        <is>
          <t>Description</t>
        </is>
      </c>
      <c r="C1" s="5" t="inlineStr">
        <is>
          <t>Material Type</t>
        </is>
      </c>
      <c r="D1" s="5" t="inlineStr">
        <is>
          <t>Material Qty (lbs)</t>
        </is>
      </c>
      <c r="E1" s="5" t="inlineStr">
        <is>
          <t>Material Rate ($/lb, auto)</t>
        </is>
      </c>
      <c r="F1" s="5" t="inlineStr">
        <is>
          <t>Labor Hrs</t>
        </is>
      </c>
      <c r="G1" s="5" t="inlineStr">
        <is>
          <t>Labor Rate ($/hr)</t>
        </is>
      </c>
      <c r="H1" s="5" t="inlineStr">
        <is>
          <t>Equip Hrs/Units</t>
        </is>
      </c>
      <c r="I1" s="5" t="inlineStr">
        <is>
          <t>Equip Rate</t>
        </is>
      </c>
      <c r="J1" s="5" t="inlineStr">
        <is>
          <t>Ext Material</t>
        </is>
      </c>
      <c r="K1" s="5" t="inlineStr">
        <is>
          <t>Ext Labor</t>
        </is>
      </c>
      <c r="L1" s="5" t="inlineStr">
        <is>
          <t>Ext Equip</t>
        </is>
      </c>
      <c r="M1" s="5" t="inlineStr">
        <is>
          <t>Line Total</t>
        </is>
      </c>
    </row>
    <row r="2">
      <c r="A2" t="n">
        <v>1</v>
      </c>
      <c r="B2" t="inlineStr">
        <is>
          <t>HSS Columns (3x C2 HSS6x3x5/16 @ 17.0 lb/ft + 6x C3 HSS7x3x5/16 @ 19.1 lb/ft, 14'-0" tall)</t>
        </is>
      </c>
      <c r="C2" t="inlineStr">
        <is>
          <t>Tube / HSS</t>
        </is>
      </c>
      <c r="D2" t="n">
        <v>2503.872</v>
      </c>
      <c r="E2">
        <f>IFERROR(VLOOKUP(C2,Rates!$B$4:$D$100,3,FALSE),"")</f>
        <v/>
      </c>
      <c r="F2" t="n">
        <v>8</v>
      </c>
      <c r="G2" t="n">
        <v>75</v>
      </c>
      <c r="H2" t="n">
        <v>0</v>
      </c>
      <c r="I2" t="n">
        <v>0</v>
      </c>
      <c r="J2">
        <f>IF(D2="","",IF(Inputs!$B$6="Erect Only",0,D2*E2))</f>
        <v/>
      </c>
      <c r="K2">
        <f>IF(F2="","",F2*G2)</f>
        <v/>
      </c>
      <c r="L2">
        <f>IF(H2="","",H2*I2)</f>
        <v/>
      </c>
      <c r="M2">
        <f>SUM(J2:L2)</f>
        <v/>
      </c>
    </row>
    <row r="3">
      <c r="A3" t="n">
        <v>2</v>
      </c>
      <c r="B3" t="inlineStr">
        <is>
          <t>9x WF Beams, canopy frame (bay-spacing assumption, see takeoff notes)</t>
        </is>
      </c>
      <c r="C3" t="inlineStr">
        <is>
          <t>WF Beams</t>
        </is>
      </c>
      <c r="D3" t="n">
        <v>8841.700800000001</v>
      </c>
      <c r="E3">
        <f>IFERROR(VLOOKUP(C3,Rates!$B$4:$D$100,3,FALSE),"")</f>
        <v/>
      </c>
      <c r="F3" t="n">
        <v>8</v>
      </c>
      <c r="G3" t="n">
        <v>75</v>
      </c>
      <c r="H3" t="n">
        <v>0</v>
      </c>
      <c r="I3" t="n">
        <v>0</v>
      </c>
      <c r="J3">
        <f>IF(D3="","",IF(Inputs!$B$6="Erect Only",0,D3*E3))</f>
        <v/>
      </c>
      <c r="K3">
        <f>IF(F3="","",F3*G3)</f>
        <v/>
      </c>
      <c r="L3">
        <f>IF(H3="","",H3*I3)</f>
        <v/>
      </c>
      <c r="M3">
        <f>SUM(J3:L3)</f>
        <v/>
      </c>
    </row>
    <row r="4">
      <c r="A4" t="n">
        <v>3</v>
      </c>
      <c r="B4" t="inlineStr">
        <is>
          <t>Perimeter Angle - 193 LF assumed L3x3x1/4 (size unconfirmed on drawings)</t>
        </is>
      </c>
      <c r="C4" t="inlineStr">
        <is>
          <t>Angles</t>
        </is>
      </c>
      <c r="D4" t="n">
        <v>1021.356</v>
      </c>
      <c r="E4">
        <f>IFERROR(VLOOKUP(C4,Rates!$B$4:$D$100,3,FALSE),"")</f>
        <v/>
      </c>
      <c r="F4" t="n">
        <v>5.026041666666667</v>
      </c>
      <c r="G4" t="n">
        <v>75</v>
      </c>
      <c r="H4" t="n">
        <v>0</v>
      </c>
      <c r="I4" t="n">
        <v>0</v>
      </c>
      <c r="J4">
        <f>IF(D4="","",IF(Inputs!$B$6="Erect Only",0,D4*E4))</f>
        <v/>
      </c>
      <c r="K4">
        <f>IF(F4="","",F4*G4)</f>
        <v/>
      </c>
      <c r="L4">
        <f>IF(H4="","",H4*I4)</f>
        <v/>
      </c>
      <c r="M4">
        <f>SUM(J4:L4)</f>
        <v/>
      </c>
    </row>
    <row r="5">
      <c r="A5" t="n">
        <v>4</v>
      </c>
      <c r="B5" t="inlineStr">
        <is>
          <t>Loose Lintels - 13 openings, furnish only (zero labor), galvanized</t>
        </is>
      </c>
      <c r="C5" t="inlineStr">
        <is>
          <t>Angles</t>
        </is>
      </c>
      <c r="D5" t="n">
        <v>942.5635199999999</v>
      </c>
      <c r="E5">
        <f>IFERROR(VLOOKUP(C5,Rates!$B$4:$D$100,3,FALSE),"")</f>
        <v/>
      </c>
      <c r="F5" t="n">
        <v>0</v>
      </c>
      <c r="G5" t="n">
        <v>0</v>
      </c>
      <c r="H5" t="n">
        <v>942.5635199999999</v>
      </c>
      <c r="I5" t="n">
        <v>0.55</v>
      </c>
      <c r="J5">
        <f>IF(D5="","",IF(Inputs!$B$6="Erect Only",0,D5*E5))</f>
        <v/>
      </c>
      <c r="K5">
        <f>IF(F5="","",F5*G5)</f>
        <v/>
      </c>
      <c r="L5">
        <f>IF(H5="","",H5*I5)</f>
        <v/>
      </c>
      <c r="M5">
        <f>SUM(J5:L5)</f>
        <v/>
      </c>
    </row>
    <row r="6">
      <c r="A6" t="n">
        <v>5</v>
      </c>
      <c r="B6" t="inlineStr">
        <is>
          <t>Shop Labor (6.655 tons x 10 hrs/ton)</t>
        </is>
      </c>
      <c r="E6">
        <f>IFERROR(VLOOKUP(C6,Rates!$B$4:$D$100,3,FALSE),"")</f>
        <v/>
      </c>
      <c r="F6" t="n">
        <v>66.54746160000001</v>
      </c>
      <c r="G6" t="n">
        <v>75</v>
      </c>
      <c r="H6" t="n">
        <v>0</v>
      </c>
      <c r="I6" t="n">
        <v>0</v>
      </c>
      <c r="J6">
        <f>IF(D6="","",IF(Inputs!$B$6="Erect Only",0,D6*E6))</f>
        <v/>
      </c>
      <c r="K6">
        <f>IF(F6="","",F6*G6)</f>
        <v/>
      </c>
      <c r="L6">
        <f>IF(H6="","",H6*I6)</f>
        <v/>
      </c>
      <c r="M6">
        <f>SUM(J6:L6)</f>
        <v/>
      </c>
    </row>
    <row r="7">
      <c r="E7">
        <f>IFERROR(VLOOKUP(C7,Rates!$B$4:$D$100,3,FALSE),"")</f>
        <v/>
      </c>
      <c r="J7">
        <f>IF(D7="","",IF(Inputs!$B$6="Erect Only",0,D7*E7))</f>
        <v/>
      </c>
      <c r="K7">
        <f>IF(F7="","",F7*G7)</f>
        <v/>
      </c>
      <c r="L7">
        <f>IF(H7="","",H7*I7)</f>
        <v/>
      </c>
      <c r="M7">
        <f>SUM(J7:L7)</f>
        <v/>
      </c>
    </row>
    <row r="8">
      <c r="E8">
        <f>IFERROR(VLOOKUP(C8,Rates!$B$4:$D$100,3,FALSE),"")</f>
        <v/>
      </c>
      <c r="J8">
        <f>IF(D8="","",IF(Inputs!$B$6="Erect Only",0,D8*E8))</f>
        <v/>
      </c>
      <c r="K8">
        <f>IF(F8="","",F8*G8)</f>
        <v/>
      </c>
      <c r="L8">
        <f>IF(H8="","",H8*I8)</f>
        <v/>
      </c>
      <c r="M8">
        <f>SUM(J8:L8)</f>
        <v/>
      </c>
    </row>
    <row r="9">
      <c r="E9">
        <f>IFERROR(VLOOKUP(C9,Rates!$B$4:$D$100,3,FALSE),"")</f>
        <v/>
      </c>
      <c r="J9">
        <f>IF(D9="","",IF(Inputs!$B$6="Erect Only",0,D9*E9))</f>
        <v/>
      </c>
      <c r="K9">
        <f>IF(F9="","",F9*G9)</f>
        <v/>
      </c>
      <c r="L9">
        <f>IF(H9="","",H9*I9)</f>
        <v/>
      </c>
      <c r="M9">
        <f>SUM(J9:L9)</f>
        <v/>
      </c>
    </row>
    <row r="10">
      <c r="E10">
        <f>IFERROR(VLOOKUP(C10,Rates!$B$4:$D$100,3,FALSE),"")</f>
        <v/>
      </c>
      <c r="J10">
        <f>IF(D10="","",IF(Inputs!$B$6="Erect Only",0,D10*E10))</f>
        <v/>
      </c>
      <c r="K10">
        <f>IF(F10="","",F10*G10)</f>
        <v/>
      </c>
      <c r="L10">
        <f>IF(H10="","",H10*I10)</f>
        <v/>
      </c>
      <c r="M10">
        <f>SUM(J10:L10)</f>
        <v/>
      </c>
    </row>
    <row r="11">
      <c r="E11">
        <f>IFERROR(VLOOKUP(C11,Rates!$B$4:$D$100,3,FALSE),"")</f>
        <v/>
      </c>
      <c r="J11">
        <f>IF(D11="","",IF(Inputs!$B$6="Erect Only",0,D11*E11))</f>
        <v/>
      </c>
      <c r="K11">
        <f>IF(F11="","",F11*G11)</f>
        <v/>
      </c>
      <c r="L11">
        <f>IF(H11="","",H11*I11)</f>
        <v/>
      </c>
      <c r="M11">
        <f>SUM(J11:L11)</f>
        <v/>
      </c>
    </row>
    <row r="12">
      <c r="E12">
        <f>IFERROR(VLOOKUP(C12,Rates!$B$4:$D$100,3,FALSE),"")</f>
        <v/>
      </c>
      <c r="J12">
        <f>IF(D12="","",IF(Inputs!$B$6="Erect Only",0,D12*E12))</f>
        <v/>
      </c>
      <c r="K12">
        <f>IF(F12="","",F12*G12)</f>
        <v/>
      </c>
      <c r="L12">
        <f>IF(H12="","",H12*I12)</f>
        <v/>
      </c>
      <c r="M12">
        <f>SUM(J12:L12)</f>
        <v/>
      </c>
    </row>
    <row r="13">
      <c r="E13">
        <f>IFERROR(VLOOKUP(C13,Rates!$B$4:$D$100,3,FALSE),"")</f>
        <v/>
      </c>
      <c r="J13">
        <f>IF(D13="","",IF(Inputs!$B$6="Erect Only",0,D13*E13))</f>
        <v/>
      </c>
      <c r="K13">
        <f>IF(F13="","",F13*G13)</f>
        <v/>
      </c>
      <c r="L13">
        <f>IF(H13="","",H13*I13)</f>
        <v/>
      </c>
      <c r="M13">
        <f>SUM(J13:L13)</f>
        <v/>
      </c>
    </row>
    <row r="14">
      <c r="E14">
        <f>IFERROR(VLOOKUP(C14,Rates!$B$4:$D$100,3,FALSE),"")</f>
        <v/>
      </c>
      <c r="J14">
        <f>IF(D14="","",IF(Inputs!$B$6="Erect Only",0,D14*E14))</f>
        <v/>
      </c>
      <c r="K14">
        <f>IF(F14="","",F14*G14)</f>
        <v/>
      </c>
      <c r="L14">
        <f>IF(H14="","",H14*I14)</f>
        <v/>
      </c>
      <c r="M14">
        <f>SUM(J14:L14)</f>
        <v/>
      </c>
    </row>
    <row r="15">
      <c r="E15">
        <f>IFERROR(VLOOKUP(C15,Rates!$B$4:$D$100,3,FALSE),"")</f>
        <v/>
      </c>
      <c r="J15">
        <f>IF(D15="","",IF(Inputs!$B$6="Erect Only",0,D15*E15))</f>
        <v/>
      </c>
      <c r="K15">
        <f>IF(F15="","",F15*G15)</f>
        <v/>
      </c>
      <c r="L15">
        <f>IF(H15="","",H15*I15)</f>
        <v/>
      </c>
      <c r="M15">
        <f>SUM(J15:L15)</f>
        <v/>
      </c>
    </row>
    <row r="16">
      <c r="E16">
        <f>IFERROR(VLOOKUP(C16,Rates!$B$4:$D$100,3,FALSE),"")</f>
        <v/>
      </c>
      <c r="J16">
        <f>IF(D16="","",IF(Inputs!$B$6="Erect Only",0,D16*E16))</f>
        <v/>
      </c>
      <c r="K16">
        <f>IF(F16="","",F16*G16)</f>
        <v/>
      </c>
      <c r="L16">
        <f>IF(H16="","",H16*I16)</f>
        <v/>
      </c>
      <c r="M16">
        <f>SUM(J16:L16)</f>
        <v/>
      </c>
    </row>
    <row r="17">
      <c r="E17">
        <f>IFERROR(VLOOKUP(C17,Rates!$B$4:$D$100,3,FALSE),"")</f>
        <v/>
      </c>
      <c r="J17">
        <f>IF(D17="","",IF(Inputs!$B$6="Erect Only",0,D17*E17))</f>
        <v/>
      </c>
      <c r="K17">
        <f>IF(F17="","",F17*G17)</f>
        <v/>
      </c>
      <c r="L17">
        <f>IF(H17="","",H17*I17)</f>
        <v/>
      </c>
      <c r="M17">
        <f>SUM(J17:L17)</f>
        <v/>
      </c>
    </row>
    <row r="18">
      <c r="E18">
        <f>IFERROR(VLOOKUP(C18,Rates!$B$4:$D$100,3,FALSE),"")</f>
        <v/>
      </c>
      <c r="J18">
        <f>IF(D18="","",IF(Inputs!$B$6="Erect Only",0,D18*E18))</f>
        <v/>
      </c>
      <c r="K18">
        <f>IF(F18="","",F18*G18)</f>
        <v/>
      </c>
      <c r="L18">
        <f>IF(H18="","",H18*I18)</f>
        <v/>
      </c>
      <c r="M18">
        <f>SUM(J18:L18)</f>
        <v/>
      </c>
    </row>
    <row r="19">
      <c r="E19">
        <f>IFERROR(VLOOKUP(C19,Rates!$B$4:$D$100,3,FALSE),"")</f>
        <v/>
      </c>
      <c r="J19">
        <f>IF(D19="","",IF(Inputs!$B$6="Erect Only",0,D19*E19))</f>
        <v/>
      </c>
      <c r="K19">
        <f>IF(F19="","",F19*G19)</f>
        <v/>
      </c>
      <c r="L19">
        <f>IF(H19="","",H19*I19)</f>
        <v/>
      </c>
      <c r="M19">
        <f>SUM(J19:L19)</f>
        <v/>
      </c>
    </row>
    <row r="20">
      <c r="E20">
        <f>IFERROR(VLOOKUP(C20,Rates!$B$4:$D$100,3,FALSE),"")</f>
        <v/>
      </c>
      <c r="J20">
        <f>IF(D20="","",IF(Inputs!$B$6="Erect Only",0,D20*E20))</f>
        <v/>
      </c>
      <c r="K20">
        <f>IF(F20="","",F20*G20)</f>
        <v/>
      </c>
      <c r="L20">
        <f>IF(H20="","",H20*I20)</f>
        <v/>
      </c>
      <c r="M20">
        <f>SUM(J20:L20)</f>
        <v/>
      </c>
    </row>
    <row r="21">
      <c r="E21">
        <f>IFERROR(VLOOKUP(C21,Rates!$B$4:$D$100,3,FALSE),"")</f>
        <v/>
      </c>
      <c r="J21">
        <f>IF(D21="","",IF(Inputs!$B$6="Erect Only",0,D21*E21))</f>
        <v/>
      </c>
      <c r="K21">
        <f>IF(F21="","",F21*G21)</f>
        <v/>
      </c>
      <c r="L21">
        <f>IF(H21="","",H21*I21)</f>
        <v/>
      </c>
      <c r="M21">
        <f>SUM(J21:L21)</f>
        <v/>
      </c>
    </row>
    <row r="22">
      <c r="E22">
        <f>IFERROR(VLOOKUP(C22,Rates!$B$4:$D$100,3,FALSE),"")</f>
        <v/>
      </c>
      <c r="J22">
        <f>IF(D22="","",IF(Inputs!$B$6="Erect Only",0,D22*E22))</f>
        <v/>
      </c>
      <c r="K22">
        <f>IF(F22="","",F22*G22)</f>
        <v/>
      </c>
      <c r="L22">
        <f>IF(H22="","",H22*I22)</f>
        <v/>
      </c>
      <c r="M22">
        <f>SUM(J22:L22)</f>
        <v/>
      </c>
    </row>
    <row r="23">
      <c r="E23">
        <f>IFERROR(VLOOKUP(C23,Rates!$B$4:$D$100,3,FALSE),"")</f>
        <v/>
      </c>
      <c r="J23">
        <f>IF(D23="","",IF(Inputs!$B$6="Erect Only",0,D23*E23))</f>
        <v/>
      </c>
      <c r="K23">
        <f>IF(F23="","",F23*G23)</f>
        <v/>
      </c>
      <c r="L23">
        <f>IF(H23="","",H23*I23)</f>
        <v/>
      </c>
      <c r="M23">
        <f>SUM(J23:L23)</f>
        <v/>
      </c>
    </row>
    <row r="24">
      <c r="E24">
        <f>IFERROR(VLOOKUP(C24,Rates!$B$4:$D$100,3,FALSE),"")</f>
        <v/>
      </c>
      <c r="J24">
        <f>IF(D24="","",IF(Inputs!$B$6="Erect Only",0,D24*E24))</f>
        <v/>
      </c>
      <c r="K24">
        <f>IF(F24="","",F24*G24)</f>
        <v/>
      </c>
      <c r="L24">
        <f>IF(H24="","",H24*I24)</f>
        <v/>
      </c>
      <c r="M24">
        <f>SUM(J24:L24)</f>
        <v/>
      </c>
    </row>
    <row r="25">
      <c r="E25">
        <f>IFERROR(VLOOKUP(C25,Rates!$B$4:$D$100,3,FALSE),"")</f>
        <v/>
      </c>
      <c r="J25">
        <f>IF(D25="","",IF(Inputs!$B$6="Erect Only",0,D25*E25))</f>
        <v/>
      </c>
      <c r="K25">
        <f>IF(F25="","",F25*G25)</f>
        <v/>
      </c>
      <c r="L25">
        <f>IF(H25="","",H25*I25)</f>
        <v/>
      </c>
      <c r="M25">
        <f>SUM(J25:L25)</f>
        <v/>
      </c>
    </row>
    <row r="26">
      <c r="E26">
        <f>IFERROR(VLOOKUP(C26,Rates!$B$4:$D$100,3,FALSE),"")</f>
        <v/>
      </c>
      <c r="J26">
        <f>IF(D26="","",IF(Inputs!$B$6="Erect Only",0,D26*E26))</f>
        <v/>
      </c>
      <c r="K26">
        <f>IF(F26="","",F26*G26)</f>
        <v/>
      </c>
      <c r="L26">
        <f>IF(H26="","",H26*I26)</f>
        <v/>
      </c>
      <c r="M26">
        <f>SUM(J26:L26)</f>
        <v/>
      </c>
    </row>
    <row r="27">
      <c r="E27">
        <f>IFERROR(VLOOKUP(C27,Rates!$B$4:$D$100,3,FALSE),"")</f>
        <v/>
      </c>
      <c r="J27">
        <f>IF(D27="","",IF(Inputs!$B$6="Erect Only",0,D27*E27))</f>
        <v/>
      </c>
      <c r="K27">
        <f>IF(F27="","",F27*G27)</f>
        <v/>
      </c>
      <c r="L27">
        <f>IF(H27="","",H27*I27)</f>
        <v/>
      </c>
      <c r="M27">
        <f>SUM(J27:L27)</f>
        <v/>
      </c>
    </row>
    <row r="28">
      <c r="E28">
        <f>IFERROR(VLOOKUP(C28,Rates!$B$4:$D$100,3,FALSE),"")</f>
        <v/>
      </c>
      <c r="J28">
        <f>IF(D28="","",IF(Inputs!$B$6="Erect Only",0,D28*E28))</f>
        <v/>
      </c>
      <c r="K28">
        <f>IF(F28="","",F28*G28)</f>
        <v/>
      </c>
      <c r="L28">
        <f>IF(H28="","",H28*I28)</f>
        <v/>
      </c>
      <c r="M28">
        <f>SUM(J28:L28)</f>
        <v/>
      </c>
    </row>
    <row r="29">
      <c r="E29">
        <f>IFERROR(VLOOKUP(C29,Rates!$B$4:$D$100,3,FALSE),"")</f>
        <v/>
      </c>
      <c r="J29">
        <f>IF(D29="","",IF(Inputs!$B$6="Erect Only",0,D29*E29))</f>
        <v/>
      </c>
      <c r="K29">
        <f>IF(F29="","",F29*G29)</f>
        <v/>
      </c>
      <c r="L29">
        <f>IF(H29="","",H29*I29)</f>
        <v/>
      </c>
      <c r="M29">
        <f>SUM(J29:L29)</f>
        <v/>
      </c>
    </row>
    <row r="30">
      <c r="E30">
        <f>IFERROR(VLOOKUP(C30,Rates!$B$4:$D$100,3,FALSE),"")</f>
        <v/>
      </c>
      <c r="J30">
        <f>IF(D30="","",IF(Inputs!$B$6="Erect Only",0,D30*E30))</f>
        <v/>
      </c>
      <c r="K30">
        <f>IF(F30="","",F30*G30)</f>
        <v/>
      </c>
      <c r="L30">
        <f>IF(H30="","",H30*I30)</f>
        <v/>
      </c>
      <c r="M30">
        <f>SUM(J30:L30)</f>
        <v/>
      </c>
    </row>
    <row r="31">
      <c r="E31">
        <f>IFERROR(VLOOKUP(C31,Rates!$B$4:$D$100,3,FALSE),"")</f>
        <v/>
      </c>
      <c r="J31">
        <f>IF(D31="","",IF(Inputs!$B$6="Erect Only",0,D31*E31))</f>
        <v/>
      </c>
      <c r="K31">
        <f>IF(F31="","",F31*G31)</f>
        <v/>
      </c>
      <c r="L31">
        <f>IF(H31="","",H31*I31)</f>
        <v/>
      </c>
      <c r="M31">
        <f>SUM(J31:L31)</f>
        <v/>
      </c>
    </row>
    <row r="32">
      <c r="A32" s="2" t="inlineStr">
        <is>
          <t>TOTALS</t>
        </is>
      </c>
      <c r="J32">
        <f>SUM(J2:J31)</f>
        <v/>
      </c>
      <c r="K32">
        <f>SUM(K2:K31)</f>
        <v/>
      </c>
      <c r="L32">
        <f>SUM(L2:L31)</f>
        <v/>
      </c>
      <c r="M32">
        <f>SUM(M2:M31)</f>
        <v/>
      </c>
    </row>
    <row r="34">
      <c r="A34" s="6" t="inlineStr">
        <is>
          <t>Ext Material forces to $0 when Inputs!Scope Type = "Erect Only", per scope-rules.md Section 1: skip ALL material cost rows entirely for erect-only jobs. Material/Labor/Equipment each use their own quantity column so lbs, hrs, and equipment-hrs never cross-multiply.</t>
        </is>
      </c>
    </row>
  </sheetData>
  <dataValidations count="1">
    <dataValidation sqref="C2:C31" showDropDown="0" showInputMessage="0" showErrorMessage="0" allowBlank="1" type="list">
      <formula1>"WF Beams,Tube / HSS,Angles,Channels,Flats,Bent Plate,Burned Plate,Misc Channels"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12" customWidth="1" min="5" max="5"/>
  </cols>
  <sheetData>
    <row r="1">
      <c r="A1" s="5" t="inlineStr">
        <is>
          <t>Item</t>
        </is>
      </c>
      <c r="B1" s="5" t="inlineStr">
        <is>
          <t>Qty</t>
        </is>
      </c>
      <c r="C1" s="5" t="inlineStr">
        <is>
          <t>Unit</t>
        </is>
      </c>
      <c r="D1" s="5" t="inlineStr">
        <is>
          <t>Rate (auto)</t>
        </is>
      </c>
      <c r="E1" s="5" t="inlineStr">
        <is>
          <t>Ext Cost</t>
        </is>
      </c>
    </row>
    <row r="2">
      <c r="A2" t="inlineStr">
        <is>
          <t>Anchor Bolts</t>
        </is>
      </c>
      <c r="B2" t="n">
        <v>36</v>
      </c>
      <c r="C2" t="inlineStr">
        <is>
          <t>EA</t>
        </is>
      </c>
      <c r="D2">
        <f>IFERROR(VLOOKUP(A2,Rates!$B$4:$D$100,3,FALSE),"")</f>
        <v/>
      </c>
      <c r="E2">
        <f>IF(A2="","",IF(Inputs!$B$6="Erect Only",0,B2*D2))</f>
        <v/>
      </c>
    </row>
    <row r="3">
      <c r="A3" t="inlineStr">
        <is>
          <t>Bollards</t>
        </is>
      </c>
      <c r="B3" t="n">
        <v>2</v>
      </c>
      <c r="C3" t="inlineStr">
        <is>
          <t>EA</t>
        </is>
      </c>
      <c r="D3">
        <f>IFERROR(VLOOKUP(A3,Rates!$B$4:$D$100,3,FALSE),"")</f>
        <v/>
      </c>
      <c r="E3">
        <f>IF(A3="","",IF(Inputs!$B$6="Erect Only",0,B3*D3))</f>
        <v/>
      </c>
    </row>
    <row r="4">
      <c r="A4" t="inlineStr">
        <is>
          <t>Roof Access Ladder</t>
        </is>
      </c>
      <c r="B4" t="n">
        <v>1</v>
      </c>
      <c r="C4" t="inlineStr">
        <is>
          <t>EA</t>
        </is>
      </c>
      <c r="D4">
        <f>IFERROR(VLOOKUP(A4,Rates!$B$4:$D$100,3,FALSE),"")</f>
        <v/>
      </c>
      <c r="E4">
        <f>IF(A4="","",IF(Inputs!$B$6="Erect Only",0,B4*D4))</f>
        <v/>
      </c>
    </row>
    <row r="5">
      <c r="D5">
        <f>IFERROR(VLOOKUP(A5,Rates!$B$4:$D$100,3,FALSE),"")</f>
        <v/>
      </c>
      <c r="E5">
        <f>IF(A5="","",IF(Inputs!$B$6="Erect Only",0,B5*D5))</f>
        <v/>
      </c>
    </row>
    <row r="6">
      <c r="D6">
        <f>IFERROR(VLOOKUP(A6,Rates!$B$4:$D$100,3,FALSE),"")</f>
        <v/>
      </c>
      <c r="E6">
        <f>IF(A6="","",IF(Inputs!$B$6="Erect Only",0,B6*D6))</f>
        <v/>
      </c>
    </row>
    <row r="7">
      <c r="D7">
        <f>IFERROR(VLOOKUP(A7,Rates!$B$4:$D$100,3,FALSE),"")</f>
        <v/>
      </c>
      <c r="E7">
        <f>IF(A7="","",IF(Inputs!$B$6="Erect Only",0,B7*D7))</f>
        <v/>
      </c>
    </row>
    <row r="8">
      <c r="D8">
        <f>IFERROR(VLOOKUP(A8,Rates!$B$4:$D$100,3,FALSE),"")</f>
        <v/>
      </c>
      <c r="E8">
        <f>IF(A8="","",IF(Inputs!$B$6="Erect Only",0,B8*D8))</f>
        <v/>
      </c>
    </row>
    <row r="9">
      <c r="D9">
        <f>IFERROR(VLOOKUP(A9,Rates!$B$4:$D$100,3,FALSE),"")</f>
        <v/>
      </c>
      <c r="E9">
        <f>IF(A9="","",IF(Inputs!$B$6="Erect Only",0,B9*D9))</f>
        <v/>
      </c>
    </row>
    <row r="10">
      <c r="D10">
        <f>IFERROR(VLOOKUP(A10,Rates!$B$4:$D$100,3,FALSE),"")</f>
        <v/>
      </c>
      <c r="E10">
        <f>IF(A10="","",IF(Inputs!$B$6="Erect Only",0,B10*D10))</f>
        <v/>
      </c>
    </row>
    <row r="11">
      <c r="D11">
        <f>IFERROR(VLOOKUP(A11,Rates!$B$4:$D$100,3,FALSE),"")</f>
        <v/>
      </c>
      <c r="E11">
        <f>IF(A11="","",IF(Inputs!$B$6="Erect Only",0,B11*D11))</f>
        <v/>
      </c>
    </row>
    <row r="12">
      <c r="D12">
        <f>IFERROR(VLOOKUP(A12,Rates!$B$4:$D$100,3,FALSE),"")</f>
        <v/>
      </c>
      <c r="E12">
        <f>IF(A12="","",IF(Inputs!$B$6="Erect Only",0,B12*D12))</f>
        <v/>
      </c>
    </row>
    <row r="13">
      <c r="D13">
        <f>IFERROR(VLOOKUP(A13,Rates!$B$4:$D$100,3,FALSE),"")</f>
        <v/>
      </c>
      <c r="E13">
        <f>IF(A13="","",IF(Inputs!$B$6="Erect Only",0,B13*D13))</f>
        <v/>
      </c>
    </row>
    <row r="14">
      <c r="D14">
        <f>IFERROR(VLOOKUP(A14,Rates!$B$4:$D$100,3,FALSE),"")</f>
        <v/>
      </c>
      <c r="E14">
        <f>IF(A14="","",IF(Inputs!$B$6="Erect Only",0,B14*D14))</f>
        <v/>
      </c>
    </row>
    <row r="15">
      <c r="D15">
        <f>IFERROR(VLOOKUP(A15,Rates!$B$4:$D$100,3,FALSE),"")</f>
        <v/>
      </c>
      <c r="E15">
        <f>IF(A15="","",IF(Inputs!$B$6="Erect Only",0,B15*D15))</f>
        <v/>
      </c>
    </row>
    <row r="16">
      <c r="D16">
        <f>IFERROR(VLOOKUP(A16,Rates!$B$4:$D$100,3,FALSE),"")</f>
        <v/>
      </c>
      <c r="E16">
        <f>IF(A16="","",IF(Inputs!$B$6="Erect Only",0,B16*D16))</f>
        <v/>
      </c>
    </row>
    <row r="17">
      <c r="D17">
        <f>IFERROR(VLOOKUP(A17,Rates!$B$4:$D$100,3,FALSE),"")</f>
        <v/>
      </c>
      <c r="E17">
        <f>IF(A17="","",IF(Inputs!$B$6="Erect Only",0,B17*D17))</f>
        <v/>
      </c>
    </row>
    <row r="18">
      <c r="D18">
        <f>IFERROR(VLOOKUP(A18,Rates!$B$4:$D$100,3,FALSE),"")</f>
        <v/>
      </c>
      <c r="E18">
        <f>IF(A18="","",IF(Inputs!$B$6="Erect Only",0,B18*D18))</f>
        <v/>
      </c>
    </row>
    <row r="19">
      <c r="D19">
        <f>IFERROR(VLOOKUP(A19,Rates!$B$4:$D$100,3,FALSE),"")</f>
        <v/>
      </c>
      <c r="E19">
        <f>IF(A19="","",IF(Inputs!$B$6="Erect Only",0,B19*D19))</f>
        <v/>
      </c>
    </row>
    <row r="20">
      <c r="D20">
        <f>IFERROR(VLOOKUP(A20,Rates!$B$4:$D$100,3,FALSE),"")</f>
        <v/>
      </c>
      <c r="E20">
        <f>IF(A20="","",IF(Inputs!$B$6="Erect Only",0,B20*D20))</f>
        <v/>
      </c>
    </row>
    <row r="21">
      <c r="A21" s="2" t="inlineStr">
        <is>
          <t>TOTAL</t>
        </is>
      </c>
      <c r="E21">
        <f>SUM(E2:E20)</f>
        <v/>
      </c>
    </row>
  </sheetData>
  <dataValidations count="1">
    <dataValidation sqref="A2:A20" showDropDown="0" showInputMessage="0" showErrorMessage="0" allowBlank="1" type="list">
      <formula1>"Anchor Bolts,Shear Studs,Field Bolts,Epoxy Anchors,Bollards,Dumpster / Trash Gates,Roof Access Ladder,Steel Railing - 2-Line,Repair Rail,Cable Railing,Wall Fix (railing),Pipe Bollards"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</cols>
  <sheetData>
    <row r="1">
      <c r="A1" s="1" t="inlineStr">
        <is>
          <t>Bid Summary</t>
        </is>
      </c>
    </row>
    <row r="3">
      <c r="A3" s="2" t="inlineStr">
        <is>
          <t>Tonnage Material Subtotal</t>
        </is>
      </c>
      <c r="B3" s="7">
        <f>'Section 5 - Pricing'!J32</f>
        <v/>
      </c>
    </row>
    <row r="4">
      <c r="A4" s="2" t="inlineStr">
        <is>
          <t>Buyout &amp; Hardware Subtotal</t>
        </is>
      </c>
      <c r="B4" s="7">
        <f>'Buyout &amp; Hardware'!E21</f>
        <v/>
      </c>
    </row>
    <row r="5">
      <c r="A5" s="2" t="inlineStr">
        <is>
          <t>Joist &amp; Deck Cost (input)</t>
        </is>
      </c>
      <c r="B5" s="7" t="n">
        <v>0</v>
      </c>
    </row>
    <row r="6">
      <c r="A6" s="2" t="inlineStr">
        <is>
          <t>Joist &amp; Deck After Markup</t>
        </is>
      </c>
      <c r="B6" s="7">
        <f>IF(Inputs!$B$6="Erect Only",0,B5*(1+Inputs!$B$10))</f>
        <v/>
      </c>
    </row>
    <row r="7">
      <c r="A7" s="2" t="inlineStr">
        <is>
          <t>Taxable Base (material + hardware + J&amp;D)</t>
        </is>
      </c>
      <c r="B7" s="7">
        <f>B3+B4+B6</f>
        <v/>
      </c>
    </row>
    <row r="8">
      <c r="A8" s="2" t="inlineStr">
        <is>
          <t>Erection Labor Subtotal</t>
        </is>
      </c>
      <c r="B8" s="7">
        <f>'Section 5 - Pricing'!K32</f>
        <v/>
      </c>
    </row>
    <row r="9">
      <c r="A9" s="2" t="inlineStr">
        <is>
          <t>Equipment Subtotal</t>
        </is>
      </c>
      <c r="B9" s="7">
        <f>'Section 5 - Pricing'!L32</f>
        <v/>
      </c>
    </row>
    <row r="10">
      <c r="A10" s="2" t="inlineStr">
        <is>
          <t>Freight (input)</t>
        </is>
      </c>
      <c r="B10" s="7" t="n">
        <v>1200</v>
      </c>
    </row>
    <row r="11">
      <c r="A11" s="2" t="inlineStr">
        <is>
          <t>Engineering (input)</t>
        </is>
      </c>
      <c r="B11" s="7" t="n">
        <v>0</v>
      </c>
    </row>
    <row r="12">
      <c r="A12" s="2" t="inlineStr">
        <is>
          <t>Detailing (input)</t>
        </is>
      </c>
      <c r="B12" s="7" t="n">
        <v>1663.68654</v>
      </c>
    </row>
    <row r="13">
      <c r="A13" s="2" t="inlineStr">
        <is>
          <t>Non-Taxable Subtotal</t>
        </is>
      </c>
      <c r="B13" s="7">
        <f>SUM(B8:B12)</f>
        <v/>
      </c>
    </row>
    <row r="14">
      <c r="A14" s="2" t="inlineStr">
        <is>
          <t>Direct Cost Subtotal (Sub Total)</t>
        </is>
      </c>
      <c r="B14" s="7">
        <f>B7+B13</f>
        <v/>
      </c>
    </row>
    <row r="15">
      <c r="A15" s="2" t="inlineStr">
        <is>
          <t>Bond Required? (Yes/No)</t>
        </is>
      </c>
      <c r="B15" t="inlineStr">
        <is>
          <t>No</t>
        </is>
      </c>
    </row>
    <row r="16">
      <c r="A16" s="2" t="inlineStr">
        <is>
          <t>Bond Rate (%) - of Sub Total; leave blank if using flat $ below</t>
        </is>
      </c>
      <c r="B16" s="3" t="n"/>
    </row>
    <row r="17">
      <c r="A17" s="2" t="inlineStr">
        <is>
          <t>Bond Amount ($, flat) - leave blank if using Bond Rate % above</t>
        </is>
      </c>
      <c r="B17" s="7" t="n"/>
    </row>
    <row r="18">
      <c r="A18" s="2" t="inlineStr">
        <is>
          <t>Bond Total ($)</t>
        </is>
      </c>
      <c r="B18" s="7">
        <f>IF(B15&lt;&gt;"Yes",0,IF(B16="",IF(B17="",0,B17),B14*B16))</f>
        <v/>
      </c>
    </row>
    <row r="19">
      <c r="A19" s="2" t="inlineStr">
        <is>
          <t>Profit (Profit Floor % x Sub Total, excludes Bond)</t>
        </is>
      </c>
      <c r="B19" s="7">
        <f>B14*Inputs!$B$9</f>
        <v/>
      </c>
    </row>
    <row r="20">
      <c r="A20" s="2" t="inlineStr">
        <is>
          <t>Tax (Tax Rate x Taxable Base, $0 if exempt; excludes Bond)</t>
        </is>
      </c>
      <c r="B20" s="7">
        <f>IF(Inputs!$B$7="Yes",0,B7*Inputs!$B$8)</f>
        <v/>
      </c>
    </row>
    <row r="21">
      <c r="A21" s="2" t="inlineStr">
        <is>
          <t>Pre-Rounding Total (Sub Total + Bond + Profit + Tax)</t>
        </is>
      </c>
      <c r="B21" s="7">
        <f>B14+B18+B19+B20</f>
        <v/>
      </c>
    </row>
    <row r="22">
      <c r="A22" s="2" t="inlineStr">
        <is>
          <t>Grand Total (rounded up)</t>
        </is>
      </c>
      <c r="B22" s="7">
        <f>CEILING(B21,Inputs!$B$12)</f>
        <v/>
      </c>
    </row>
    <row r="23">
      <c r="A23" s="2" t="inlineStr">
        <is>
          <t>Margin Sanity Check (Profit / Grand Total)</t>
        </is>
      </c>
      <c r="B23" s="3">
        <f>B19/B22</f>
        <v/>
      </c>
    </row>
    <row r="24" ht="30" customHeight="1">
      <c r="A24" s="2" t="inlineStr">
        <is>
          <t>Sanity Check Result</t>
        </is>
      </c>
      <c r="B24" s="8">
        <f>IF(B23&gt;=Inputs!$B$11,"PASS","BELOW TARGET - raise Profit Floor % in Inputs, do not change material rates or skip rounding")</f>
        <v/>
      </c>
    </row>
  </sheetData>
  <dataValidations count="1">
    <dataValidation sqref="B15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2026-07-16T16:54:53Z</dcterms:created>
  <dcterms:modified xsi:type="dcterms:W3CDTF">2026-07-16T20:06:28Z</dcterms:modified>
</cp:coreProperties>
</file>