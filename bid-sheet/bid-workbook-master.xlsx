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Inputs" sheetId="2" state="visible" r:id="rId4"/>
    <sheet name="Rates" sheetId="3" state="visible" r:id="rId5"/>
    <sheet name="Takeoff" sheetId="4" state="visible" r:id="rId6"/>
    <sheet name="Summary by Material" sheetId="5" state="visible" r:id="rId7"/>
    <sheet name="Section 5 - Pricing" sheetId="6" state="visible" r:id="rId8"/>
    <sheet name="Buyout &amp; Hardware" sheetId="7" state="visible" r:id="rId9"/>
    <sheet name="Bid Summary" sheetId="8" state="visible" r:id="rId10"/>
    <sheet name="Validation Ga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<sst xmlns="http://schemas.openxmlformats.org/spreadsheetml/2006/main" count="446" uniqueCount="278">
  <si>
    <t xml:space="preserve">Alphabet Academy — Bid Workbook</t>
  </si>
  <si>
    <t xml:space="preserve">Forged Iron Works | Bid # AA25-188 (TEST RUN)</t>
  </si>
  <si>
    <t xml:space="preserve">How this workbook works</t>
  </si>
  <si>
    <t xml:space="preserve">Blue text</t>
  </si>
  <si>
    <t xml:space="preserve">Hardcoded input — edit these freely</t>
  </si>
  <si>
    <t xml:space="preserve">Black text</t>
  </si>
  <si>
    <t xml:space="preserve">Formula — do not overwrite, it recalculates automatically</t>
  </si>
  <si>
    <t xml:space="preserve">Yellow fill</t>
  </si>
  <si>
    <t xml:space="preserve">Needs a human decision (marked [CONFIRM WITH ARIE] or QUOTE REQUIRED) — bid is a DRAFT until these clear</t>
  </si>
  <si>
    <t xml:space="preserve">Green fill (Validation Gate tab)</t>
  </si>
  <si>
    <t xml:space="preserve">Check passed</t>
  </si>
  <si>
    <t xml:space="preserve">Red fill (Validation Gate tab)</t>
  </si>
  <si>
    <t xml:space="preserve">Check failed — do not submit this bid</t>
  </si>
  <si>
    <t xml:space="preserve">Sheet order / flow</t>
  </si>
  <si>
    <t xml:space="preserve">1. Inputs</t>
  </si>
  <si>
    <t xml:space="preserve">Job-level inputs (tax, profit floor, etc.)</t>
  </si>
  <si>
    <t xml:space="preserve">2. Rates</t>
  </si>
  <si>
    <t xml:space="preserve">Mirror of rates.md — do not hand-edit, update rates.md first, then re-sync</t>
  </si>
  <si>
    <t xml:space="preserve">3. Takeoff</t>
  </si>
  <si>
    <t xml:space="preserve">Line-by-line material takeoff from drawings. Ext Wt and Pricing Group drive everything downstream.</t>
  </si>
  <si>
    <t xml:space="preserve">4. Summary by Material</t>
  </si>
  <si>
    <t xml:space="preserve">Auto-check: totals by material type, ties out against Takeoff</t>
  </si>
  <si>
    <t xml:space="preserve">5. Section 5 - Pricing</t>
  </si>
  <si>
    <t xml:space="preserve">Material/labor/equipment pricing, pulled from Takeoff by formula (not retyped)</t>
  </si>
  <si>
    <t xml:space="preserve">6. Buyout &amp; Hardware</t>
  </si>
  <si>
    <t xml:space="preserve">Flat-rate items (bolts, ladders, bollards, etc.)</t>
  </si>
  <si>
    <t xml:space="preserve">7. Bid Summary</t>
  </si>
  <si>
    <t xml:space="preserve">Rolls everything up to Grand Total</t>
  </si>
  <si>
    <t xml:space="preserve">8. Validation Gate</t>
  </si>
  <si>
    <t xml:space="preserve">MUST show all-clear before this bid leaves the building. See scope-rules.md Section 7.</t>
  </si>
  <si>
    <t xml:space="preserve">Bid Inputs</t>
  </si>
  <si>
    <t xml:space="preserve">Project Name</t>
  </si>
  <si>
    <t xml:space="preserve">Alphabet Academy</t>
  </si>
  <si>
    <t xml:space="preserve">Client</t>
  </si>
  <si>
    <t xml:space="preserve">GPC Construction</t>
  </si>
  <si>
    <t xml:space="preserve">Bid #</t>
  </si>
  <si>
    <t xml:space="preserve">AA25-188 (TEST RUN)</t>
  </si>
  <si>
    <t xml:space="preserve">Scope Type</t>
  </si>
  <si>
    <t xml:space="preserve">Furnish &amp; Erect (F&amp;E)</t>
  </si>
  <si>
    <t xml:space="preserve">Tax Exempt (signed cert on file)?</t>
  </si>
  <si>
    <t xml:space="preserve">No</t>
  </si>
  <si>
    <t xml:space="preserve">Tax Rate (%)</t>
  </si>
  <si>
    <t xml:space="preserve">Profit Floor (%) [CONFIRM WITH ARIE]</t>
  </si>
  <si>
    <t xml:space="preserve">J&amp;D Markup (%)</t>
  </si>
  <si>
    <t xml:space="preserve">Target Overall Margin (%) [CONFIRM WITH ARIE]</t>
  </si>
  <si>
    <t xml:space="preserve">Rounding Increment ($)</t>
  </si>
  <si>
    <t xml:space="preserve">Quote Valid (days)</t>
  </si>
  <si>
    <t xml:space="preserve">Erection Delay Charge ($)</t>
  </si>
  <si>
    <t xml:space="preserve">Rate Reference</t>
  </si>
  <si>
    <t xml:space="preserve">Mirrors reference/rates.md — that file wins on conflict. Sync manually when rates.md changes.</t>
  </si>
  <si>
    <t xml:space="preserve">Category</t>
  </si>
  <si>
    <t xml:space="preserve">Item</t>
  </si>
  <si>
    <t xml:space="preserve">Unit</t>
  </si>
  <si>
    <t xml:space="preserve">Rate</t>
  </si>
  <si>
    <t xml:space="preserve">Notes</t>
  </si>
  <si>
    <t xml:space="preserve">Material Buy Rate</t>
  </si>
  <si>
    <t xml:space="preserve">WF Beams</t>
  </si>
  <si>
    <t xml:space="preserve">$/lb</t>
  </si>
  <si>
    <t xml:space="preserve">ASTM A992 Gr. 50</t>
  </si>
  <si>
    <t xml:space="preserve">Tube / HSS</t>
  </si>
  <si>
    <t xml:space="preserve">ASTM A500 Gr. B</t>
  </si>
  <si>
    <t xml:space="preserve">Angles</t>
  </si>
  <si>
    <t xml:space="preserve">ASTM A36</t>
  </si>
  <si>
    <t xml:space="preserve">Channels</t>
  </si>
  <si>
    <t xml:space="preserve">Flats</t>
  </si>
  <si>
    <t xml:space="preserve">Bent Plate</t>
  </si>
  <si>
    <t xml:space="preserve">Burned Plate</t>
  </si>
  <si>
    <t xml:space="preserve">Misc Channels</t>
  </si>
  <si>
    <t xml:space="preserve">Hardware</t>
  </si>
  <si>
    <t xml:space="preserve">Anchor Bolts</t>
  </si>
  <si>
    <t xml:space="preserve">$/EA</t>
  </si>
  <si>
    <t xml:space="preserve">Shear Studs</t>
  </si>
  <si>
    <t xml:space="preserve">If composite deck</t>
  </si>
  <si>
    <t xml:space="preserve">Field Bolts</t>
  </si>
  <si>
    <t xml:space="preserve">A325N</t>
  </si>
  <si>
    <t xml:space="preserve">Epoxy Anchors</t>
  </si>
  <si>
    <t xml:space="preserve">Bollards</t>
  </si>
  <si>
    <t xml:space="preserve">Furnish only</t>
  </si>
  <si>
    <t xml:space="preserve">Service</t>
  </si>
  <si>
    <t xml:space="preserve">Painting</t>
  </si>
  <si>
    <t xml:space="preserve">$/hr</t>
  </si>
  <si>
    <t xml:space="preserve">Applied to painted lbs</t>
  </si>
  <si>
    <t xml:space="preserve">Galvanizing</t>
  </si>
  <si>
    <t xml:space="preserve">Applied to galvanized lbs</t>
  </si>
  <si>
    <t xml:space="preserve">Engineering</t>
  </si>
  <si>
    <t xml:space="preserve">$/ton</t>
  </si>
  <si>
    <t xml:space="preserve">Only if required</t>
  </si>
  <si>
    <t xml:space="preserve">Detailing</t>
  </si>
  <si>
    <t xml:space="preserve">Applied to total tonnage</t>
  </si>
  <si>
    <t xml:space="preserve">Shop Labor</t>
  </si>
  <si>
    <t xml:space="preserve">Tons x 10 = shop hours</t>
  </si>
  <si>
    <t xml:space="preserve">Outbound Freight</t>
  </si>
  <si>
    <t xml:space="preserve">$/load</t>
  </si>
  <si>
    <t xml:space="preserve">Per truck</t>
  </si>
  <si>
    <t xml:space="preserve">J&amp;D Markup</t>
  </si>
  <si>
    <t xml:space="preserve">%</t>
  </si>
  <si>
    <t xml:space="preserve">Applied to joist &amp; deck cost, before tax</t>
  </si>
  <si>
    <t xml:space="preserve">Erection Labor</t>
  </si>
  <si>
    <t xml:space="preserve">Local (&lt; 50 mi)</t>
  </si>
  <si>
    <t xml:space="preserve">Standard rate</t>
  </si>
  <si>
    <t xml:space="preserve">Regional (50-100 mi)</t>
  </si>
  <si>
    <t xml:space="preserve">Overnight (&gt; 100 mi)</t>
  </si>
  <si>
    <t xml:space="preserve">+ per diem $65/man/day + hotel</t>
  </si>
  <si>
    <t xml:space="preserve">Equipment</t>
  </si>
  <si>
    <t xml:space="preserve">Crane</t>
  </si>
  <si>
    <t xml:space="preserve">$80/hr if RAD crane</t>
  </si>
  <si>
    <t xml:space="preserve">Lull / Telehandler</t>
  </si>
  <si>
    <t xml:space="preserve">$/wk</t>
  </si>
  <si>
    <t xml:space="preserve">Boom Lift</t>
  </si>
  <si>
    <t xml:space="preserve">Scissor Lift</t>
  </si>
  <si>
    <t xml:space="preserve">Welder (machine)</t>
  </si>
  <si>
    <t xml:space="preserve">Misc Scope Item</t>
  </si>
  <si>
    <t xml:space="preserve">Dumpster / Trash Gates</t>
  </si>
  <si>
    <t xml:space="preserve">Roof Access Ladder</t>
  </si>
  <si>
    <t xml:space="preserve">Buyout price - verify VLF</t>
  </si>
  <si>
    <t xml:space="preserve">Pipe Bollards</t>
  </si>
  <si>
    <t xml:space="preserve">Structural Package (ADDED 7/16)</t>
  </si>
  <si>
    <t xml:space="preserve">LH Joists</t>
  </si>
  <si>
    <t xml:space="preserve">$/joist</t>
  </si>
  <si>
    <t xml:space="preserve">QUOTE REQUIRED</t>
  </si>
  <si>
    <t xml:space="preserve">No standard rate - STOP per scope-rules.md S6</t>
  </si>
  <si>
    <t xml:space="preserve">Metal Deck</t>
  </si>
  <si>
    <t xml:space="preserve">$/SF</t>
  </si>
  <si>
    <t xml:space="preserve">Production Benchmark</t>
  </si>
  <si>
    <t xml:space="preserve">Columns (set &amp; detail)</t>
  </si>
  <si>
    <t xml:space="preserve">pcs/day</t>
  </si>
  <si>
    <t xml:space="preserve">Beams</t>
  </si>
  <si>
    <t xml:space="preserve">Perimeter Angle</t>
  </si>
  <si>
    <t xml:space="preserve">LF/hr</t>
  </si>
  <si>
    <t xml:space="preserve">Shop Labor multiplier</t>
  </si>
  <si>
    <t xml:space="preserve">hrs/ton</t>
  </si>
  <si>
    <t xml:space="preserve">Painting (ADDED 7/16)</t>
  </si>
  <si>
    <t xml:space="preserve">lbs/hr</t>
  </si>
  <si>
    <t xml:space="preserve">CONFIRM WITH ARIE</t>
  </si>
  <si>
    <t xml:space="preserve">Missing - painting cannot be priced without this</t>
  </si>
  <si>
    <t xml:space="preserve">Takeoff</t>
  </si>
  <si>
    <t xml:space="preserve">Every downstream sheet pulls from here by formula. Add rows here first, never in Section 5 directly.</t>
  </si>
  <si>
    <t xml:space="preserve">Item #</t>
  </si>
  <si>
    <t xml:space="preserve">Description</t>
  </si>
  <si>
    <t xml:space="preserve">Location/Area</t>
  </si>
  <si>
    <t xml:space="preserve">Material Type</t>
  </si>
  <si>
    <t xml:space="preserve">Pricing Group</t>
  </si>
  <si>
    <t xml:space="preserve">Qty</t>
  </si>
  <si>
    <t xml:space="preserve">Unit Wt (lbs)</t>
  </si>
  <si>
    <t xml:space="preserve">Ext Wt (lbs)</t>
  </si>
  <si>
    <t xml:space="preserve">Waste %</t>
  </si>
  <si>
    <t xml:space="preserve">Ext Wt w/ Waste (lbs)</t>
  </si>
  <si>
    <t xml:space="preserve">Waste Flag</t>
  </si>
  <si>
    <t xml:space="preserve">Stock Length Used</t>
  </si>
  <si>
    <t xml:space="preserve">C2 Columns - HSS6x3x5/16 (Bull Moose Tube: 17.0 lb/ft)</t>
  </si>
  <si>
    <t xml:space="preserve">Canopy - Grid 9</t>
  </si>
  <si>
    <t xml:space="preserve">HSS Columns</t>
  </si>
  <si>
    <t xml:space="preserve">EA</t>
  </si>
  <si>
    <t xml:space="preserve">14'-0" cut-to-length</t>
  </si>
  <si>
    <t xml:space="preserve">Confirmed spec per Arie 2026-07-16.</t>
  </si>
  <si>
    <t xml:space="preserve">C3 Columns - HSS7x3x5/16 (Bull Moose Tube: 19.1 lb/ft)</t>
  </si>
  <si>
    <t xml:space="preserve">Canopy - Grid 4,6,7</t>
  </si>
  <si>
    <t xml:space="preserve">WF Beam W21x48 - Row 1</t>
  </si>
  <si>
    <t xml:space="preserve">Canopy Row A, Bay 4-6</t>
  </si>
  <si>
    <t xml:space="preserve">25'-0" (bay span)</t>
  </si>
  <si>
    <t xml:space="preserve">Grid-derived length, planning-stage assumption approved by Arie.</t>
  </si>
  <si>
    <t xml:space="preserve">WF Beam W16x31 - Row 1</t>
  </si>
  <si>
    <t xml:space="preserve">Canopy Row A, Bay 6-7</t>
  </si>
  <si>
    <t xml:space="preserve">22'-2" (bay span)</t>
  </si>
  <si>
    <t xml:space="preserve">Grid-derived length.</t>
  </si>
  <si>
    <t xml:space="preserve">Canopy Row A, Bay 7-8</t>
  </si>
  <si>
    <t xml:space="preserve">19'-5" (bay span)</t>
  </si>
  <si>
    <t xml:space="preserve">WF Beam W21x44 - Row 1</t>
  </si>
  <si>
    <t xml:space="preserve">Canopy Row A, Bay 8-9</t>
  </si>
  <si>
    <t xml:space="preserve">22'-3" (bay span)</t>
  </si>
  <si>
    <t xml:space="preserve">WF Beam W16x31 - Row 2</t>
  </si>
  <si>
    <t xml:space="preserve">Canopy Row B, Bay 4-6</t>
  </si>
  <si>
    <t xml:space="preserve">WF Beam W24x55 - Row 2</t>
  </si>
  <si>
    <t xml:space="preserve">Canopy Row B, Bay 6-7</t>
  </si>
  <si>
    <t xml:space="preserve">WF Beam W21x44 - Row 2</t>
  </si>
  <si>
    <t xml:space="preserve">Canopy Row B, Bay 7-8</t>
  </si>
  <si>
    <t xml:space="preserve">WF Beam W24x62 - Row 2</t>
  </si>
  <si>
    <t xml:space="preserve">Canopy Row B, Bay 8-9</t>
  </si>
  <si>
    <t xml:space="preserve">WF Beam W12x16 - Row 2 (5th beam, no matching bay dim)</t>
  </si>
  <si>
    <t xml:space="preserve">Canopy Row B, Grid 9 area</t>
  </si>
  <si>
    <t xml:space="preserve">10'-0" ASSUMED - not grid-derived</t>
  </si>
  <si>
    <t xml:space="preserve">NO matching bay dimension - weakest assumption, verify with EOR.</t>
  </si>
  <si>
    <t xml:space="preserve">Perimeter Angle - assumed L3x3x1/4 (4.9 lb/ft)</t>
  </si>
  <si>
    <t xml:space="preserve">Building perimeter</t>
  </si>
  <si>
    <t xml:space="preserve">LF</t>
  </si>
  <si>
    <t xml:space="preserve">Per LF - stock length TBD</t>
  </si>
  <si>
    <t xml:space="preserve">SIZE UNCONFIRMED. A-105 shows CMU parapet - may mean no edge angle needed - flag to estimator.</t>
  </si>
  <si>
    <t xml:space="preserve">Loose Lintels - Entry 100 &amp; Lobby 101, L5x3-1/2x5/16 8.7 lb/ft</t>
  </si>
  <si>
    <t xml:space="preserve">Classroom wing exterior</t>
  </si>
  <si>
    <t xml:space="preserve">Loose Lintels</t>
  </si>
  <si>
    <t xml:space="preserve">OPENING</t>
  </si>
  <si>
    <t xml:space="preserve">~7'-8" per angle</t>
  </si>
  <si>
    <t xml:space="preserve">Furnish only - zero labor. Door-schedule-derived, window schedule NOT yet cross-referenced.</t>
  </si>
  <si>
    <t xml:space="preserve">Loose Lintels - 10x classroom exterior egress doors, L3-1/2x3-1/2x1/4 5.8 lb/ft</t>
  </si>
  <si>
    <t xml:space="preserve">~4'-8" per angle</t>
  </si>
  <si>
    <t xml:space="preserve">Furnish only. Verified against A-500 door schedule + A-100 floor plan.</t>
  </si>
  <si>
    <t xml:space="preserve">Loose Lintels - Corridor 133 door (3'-6"), L4x3-1/2x1/4 6.2 lb/ft</t>
  </si>
  <si>
    <t xml:space="preserve">~5'-2" per angle</t>
  </si>
  <si>
    <t xml:space="preserve">Furnish only. Borderline size, conservative tier.</t>
  </si>
  <si>
    <t xml:space="preserve">Summary by Material</t>
  </si>
  <si>
    <t xml:space="preserve">Reconciliation check — ties Takeoff totals to Section 5 Pricing totals (scope-rules.md S6).</t>
  </si>
  <si>
    <t xml:space="preserve">Total Qty</t>
  </si>
  <si>
    <t xml:space="preserve">Total Weight, incl waste (lbs)</t>
  </si>
  <si>
    <t xml:space="preserve">TOTAL (all material, incl waste)</t>
  </si>
  <si>
    <t xml:space="preserve">TOTAL TONS (incl waste)</t>
  </si>
  <si>
    <t xml:space="preserve">Section 5 - Pricing</t>
  </si>
  <si>
    <t xml:space="preserve">Material Qty pulls from Takeoff by Pricing Group. Labor Hrs pulls from Rates production benchmarks. Nothing here is retyped by hand.</t>
  </si>
  <si>
    <t xml:space="preserve">Material Qty (lbs)</t>
  </si>
  <si>
    <t xml:space="preserve">Material Rate ($/lb)</t>
  </si>
  <si>
    <t xml:space="preserve">Labor Hrs</t>
  </si>
  <si>
    <t xml:space="preserve">Labor Rate ($/hr)</t>
  </si>
  <si>
    <t xml:space="preserve">Equip Hrs/Units</t>
  </si>
  <si>
    <t xml:space="preserve">Equip Rate</t>
  </si>
  <si>
    <t xml:space="preserve">Ext Material</t>
  </si>
  <si>
    <t xml:space="preserve">Ext Labor</t>
  </si>
  <si>
    <t xml:space="preserve">Ext Equip</t>
  </si>
  <si>
    <t xml:space="preserve">Line Total</t>
  </si>
  <si>
    <t xml:space="preserve">Status</t>
  </si>
  <si>
    <t xml:space="preserve">HSS Columns (C2 + C3, canopy)</t>
  </si>
  <si>
    <t xml:space="preserve">PRICED</t>
  </si>
  <si>
    <t xml:space="preserve">9x WF Beams, canopy frame (bay-spacing assumption, see Takeoff notes)</t>
  </si>
  <si>
    <t xml:space="preserve">Perimeter Angle - 193 LF assumed L3x3x1/4 (size UNCONFIRMED on drawings)</t>
  </si>
  <si>
    <t xml:space="preserve">FLAGGED - size unconfirmed, verify vs. A-105 parapet detail before submitting</t>
  </si>
  <si>
    <t xml:space="preserve">Loose Lintels - 13 openings, furnish only (zero labor per scope-rules.md S5), galvanized</t>
  </si>
  <si>
    <t xml:space="preserve">FLAGGED - exterior window schedule not yet cross-referenced, opening count may be incomplete</t>
  </si>
  <si>
    <t xml:space="preserve">Shop Labor (total tonnage x 10 hrs/ton)</t>
  </si>
  <si>
    <t xml:space="preserve">LH Joists (11 EA, 48LH10) - NOT IN TAKEOFF, no rate exists</t>
  </si>
  <si>
    <t xml:space="preserve">N/A</t>
  </si>
  <si>
    <t xml:space="preserve">FLAGGED - STOP per scope-rules.md S6, needs supplier quote before pricing</t>
  </si>
  <si>
    <t xml:space="preserve">Metal Deck (45 sq / 4,500 SF) - NOT IN TAKEOFF, no rate exists</t>
  </si>
  <si>
    <t xml:space="preserve">Field Bolts - beam-to-column moment connections (9 columns x 9 beams)</t>
  </si>
  <si>
    <t xml:space="preserve">FLAGGED - no bolts-per-connection standard yet, see scope-rules.md S5B</t>
  </si>
  <si>
    <t xml:space="preserve">Painting - canopy steel to match building canopy (CHARCOAL), per site detail</t>
  </si>
  <si>
    <t xml:space="preserve">FLAGGED - no lbs/hr production rate exists yet, see rates.md</t>
  </si>
  <si>
    <t xml:space="preserve">TOTALS</t>
  </si>
  <si>
    <t xml:space="preserve">Buyout &amp; Hardware</t>
  </si>
  <si>
    <t xml:space="preserve">Rate (auto)</t>
  </si>
  <si>
    <t xml:space="preserve">Ext Cost</t>
  </si>
  <si>
    <t xml:space="preserve">TOTAL</t>
  </si>
  <si>
    <t xml:space="preserve">Bid Summary</t>
  </si>
  <si>
    <t xml:space="preserve">Tonnage Material Subtotal</t>
  </si>
  <si>
    <t xml:space="preserve">Buyout &amp; Hardware Subtotal</t>
  </si>
  <si>
    <t xml:space="preserve">Joist &amp; Deck Cost (input - awaiting supplier quote)</t>
  </si>
  <si>
    <t xml:space="preserve">Joist &amp; Deck After Markup</t>
  </si>
  <si>
    <t xml:space="preserve">Taxable Base (material + hardware + J&amp;D)</t>
  </si>
  <si>
    <t xml:space="preserve">Erection Labor Subtotal</t>
  </si>
  <si>
    <t xml:space="preserve">Equipment Subtotal</t>
  </si>
  <si>
    <t xml:space="preserve">Freight (input)</t>
  </si>
  <si>
    <t xml:space="preserve">Engineering (input)</t>
  </si>
  <si>
    <t xml:space="preserve">Detailing (auto = total tons x $250/ton)</t>
  </si>
  <si>
    <t xml:space="preserve">Non-Taxable Subtotal</t>
  </si>
  <si>
    <t xml:space="preserve">Direct Cost Subtotal (Sub Total)</t>
  </si>
  <si>
    <t xml:space="preserve">Bond Required? (Yes/No)</t>
  </si>
  <si>
    <t xml:space="preserve">Bond Rate (%) - leave blank if using flat $</t>
  </si>
  <si>
    <t xml:space="preserve">Bond Amount ($, flat) - leave blank if using Rate %</t>
  </si>
  <si>
    <t xml:space="preserve">Bond Total ($)</t>
  </si>
  <si>
    <t xml:space="preserve">Profit (Profit Floor % x Sub Total, excl. Bond)</t>
  </si>
  <si>
    <t xml:space="preserve">Tax (Tax Rate x Taxable Base, excl. Bond)</t>
  </si>
  <si>
    <t xml:space="preserve">Pre-Rounding Total</t>
  </si>
  <si>
    <t xml:space="preserve">Grand Total (rounded up)</t>
  </si>
  <si>
    <t xml:space="preserve">Margin Sanity Check (Profit / Grand Total)</t>
  </si>
  <si>
    <t xml:space="preserve">Sanity Check Result</t>
  </si>
  <si>
    <t xml:space="preserve">Validation Gate</t>
  </si>
  <si>
    <t xml:space="preserve">scope-rules.md Section 7 - Mandatory Pre-Submission Gate. This bid may not go out while any row below reads FAIL.</t>
  </si>
  <si>
    <t xml:space="preserve">Check</t>
  </si>
  <si>
    <t xml:space="preserve">Result</t>
  </si>
  <si>
    <t xml:space="preserve">Detail</t>
  </si>
  <si>
    <t xml:space="preserve">No FLAGGED rows remain in Section 5 - Pricing</t>
  </si>
  <si>
    <t xml:space="preserve">No waste % HARD FAIL in Takeoff</t>
  </si>
  <si>
    <t xml:space="preserve">Tonnage reconciles: Takeoff total = Section 5 material basis</t>
  </si>
  <si>
    <t xml:space="preserve">Total weight incl. waste must match between Summary by Material and raw Takeoff sum</t>
  </si>
  <si>
    <t xml:space="preserve">Margin Sanity Check meets target</t>
  </si>
  <si>
    <t xml:space="preserve">Joist &amp; Deck priced from real quote (not $0 placeholder)</t>
  </si>
  <si>
    <t xml:space="preserve">Field Bolts quantified (not blank/placeholder)</t>
  </si>
  <si>
    <t xml:space="preserve">Painting priced (not blank/placeholder)</t>
  </si>
  <si>
    <t xml:space="preserve">Perimeter Angle size confirmed</t>
  </si>
  <si>
    <t xml:space="preserve">Loose Lintel openings cross-checked vs. window schedule</t>
  </si>
  <si>
    <t xml:space="preserve">OVERALL STATUS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</si>
</sst>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E"/>
        <bgColor rgb="FFFFFF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E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4" t="s">
        <v>2</v>
      </c>
      <c r="B5" s="3"/>
    </row>
    <row r="6" customFormat="false" ht="15" hidden="false" customHeight="false" outlineLevel="0" collapsed="false">
      <c r="A6" s="3" t="s">
        <v>3</v>
      </c>
      <c r="B6" s="3" t="s">
        <v>4</v>
      </c>
    </row>
    <row r="7" customFormat="false" ht="15" hidden="false" customHeight="false" outlineLevel="0" collapsed="false">
      <c r="A7" s="3" t="s">
        <v>5</v>
      </c>
      <c r="B7" s="3" t="s">
        <v>6</v>
      </c>
    </row>
    <row r="8" customFormat="false" ht="15" hidden="false" customHeight="false" outlineLevel="0" collapsed="false">
      <c r="A8" s="3" t="s">
        <v>7</v>
      </c>
      <c r="B8" s="3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</row>
    <row r="10" customFormat="false" ht="15" hidden="false" customHeight="false" outlineLevel="0" collapsed="false">
      <c r="A10" s="3" t="s">
        <v>11</v>
      </c>
      <c r="B10" s="3" t="s">
        <v>12</v>
      </c>
    </row>
    <row r="11" customFormat="false" ht="15" hidden="false" customHeight="false" outlineLevel="0" collapsed="false">
      <c r="A11" s="3"/>
      <c r="B11" s="3"/>
    </row>
    <row r="12" customFormat="false" ht="15" hidden="false" customHeight="false" outlineLevel="0" collapsed="false">
      <c r="A12" s="4" t="s">
        <v>13</v>
      </c>
      <c r="B12" s="3"/>
    </row>
    <row r="13" customFormat="false" ht="15" hidden="false" customHeight="false" outlineLevel="0" collapsed="false">
      <c r="A13" s="3" t="s">
        <v>14</v>
      </c>
      <c r="B13" s="3" t="s">
        <v>15</v>
      </c>
    </row>
    <row r="14" customFormat="false" ht="15" hidden="false" customHeight="false" outlineLevel="0" collapsed="false">
      <c r="A14" s="3" t="s">
        <v>16</v>
      </c>
      <c r="B14" s="3" t="s">
        <v>17</v>
      </c>
    </row>
    <row r="15" customFormat="false" ht="15" hidden="false" customHeight="false" outlineLevel="0" collapsed="false">
      <c r="A15" s="3" t="s">
        <v>18</v>
      </c>
      <c r="B15" s="3" t="s">
        <v>19</v>
      </c>
    </row>
    <row r="16" customFormat="false" ht="15" hidden="false" customHeight="false" outlineLevel="0" collapsed="false">
      <c r="A16" s="3" t="s">
        <v>20</v>
      </c>
      <c r="B16" s="3" t="s">
        <v>21</v>
      </c>
    </row>
    <row r="17" customFormat="false" ht="15" hidden="false" customHeight="false" outlineLevel="0" collapsed="false">
      <c r="A17" s="3" t="s">
        <v>22</v>
      </c>
      <c r="B17" s="3" t="s">
        <v>23</v>
      </c>
    </row>
    <row r="18" customFormat="false" ht="15" hidden="false" customHeight="false" outlineLevel="0" collapsed="false">
      <c r="A18" s="3" t="s">
        <v>24</v>
      </c>
      <c r="B18" s="3" t="s">
        <v>25</v>
      </c>
    </row>
    <row r="19" customFormat="false" ht="15" hidden="false" customHeight="false" outlineLevel="0" collapsed="false">
      <c r="A19" s="3" t="s">
        <v>26</v>
      </c>
      <c r="B19" s="3" t="s">
        <v>27</v>
      </c>
    </row>
    <row r="20" customFormat="false" ht="15" hidden="false" customHeight="false" outlineLevel="0" collapsed="false">
      <c r="A20" s="3" t="s">
        <v>28</v>
      </c>
      <c r="B20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30</v>
      </c>
    </row>
    <row r="3" customFormat="false" ht="15" hidden="false" customHeight="false" outlineLevel="0" collapsed="false">
      <c r="A3" s="3" t="s">
        <v>31</v>
      </c>
      <c r="B3" s="5" t="s">
        <v>32</v>
      </c>
    </row>
    <row r="4" customFormat="false" ht="15" hidden="false" customHeight="false" outlineLevel="0" collapsed="false">
      <c r="A4" s="3" t="s">
        <v>33</v>
      </c>
      <c r="B4" s="5" t="s">
        <v>34</v>
      </c>
    </row>
    <row r="5" customFormat="false" ht="15" hidden="false" customHeight="false" outlineLevel="0" collapsed="false">
      <c r="A5" s="3" t="s">
        <v>35</v>
      </c>
      <c r="B5" s="5" t="s">
        <v>36</v>
      </c>
    </row>
    <row r="6" customFormat="false" ht="15" hidden="false" customHeight="false" outlineLevel="0" collapsed="false">
      <c r="A6" s="3" t="s">
        <v>37</v>
      </c>
      <c r="B6" s="5" t="s">
        <v>38</v>
      </c>
    </row>
    <row r="7" customFormat="false" ht="15" hidden="false" customHeight="false" outlineLevel="0" collapsed="false">
      <c r="A7" s="3" t="s">
        <v>39</v>
      </c>
      <c r="B7" s="5" t="s">
        <v>40</v>
      </c>
    </row>
    <row r="8" customFormat="false" ht="15" hidden="false" customHeight="false" outlineLevel="0" collapsed="false">
      <c r="A8" s="3" t="s">
        <v>41</v>
      </c>
      <c r="B8" s="6" t="n">
        <v>0.07</v>
      </c>
    </row>
    <row r="9" customFormat="false" ht="15" hidden="false" customHeight="false" outlineLevel="0" collapsed="false">
      <c r="A9" s="3" t="s">
        <v>42</v>
      </c>
      <c r="B9" s="7" t="n">
        <v>0.117</v>
      </c>
    </row>
    <row r="10" customFormat="false" ht="15" hidden="false" customHeight="false" outlineLevel="0" collapsed="false">
      <c r="A10" s="3" t="s">
        <v>43</v>
      </c>
      <c r="B10" s="6" t="n">
        <v>0.1</v>
      </c>
    </row>
    <row r="11" customFormat="false" ht="15" hidden="false" customHeight="false" outlineLevel="0" collapsed="false">
      <c r="A11" s="3" t="s">
        <v>44</v>
      </c>
      <c r="B11" s="7" t="n">
        <v>0.1</v>
      </c>
    </row>
    <row r="12" customFormat="false" ht="15" hidden="false" customHeight="false" outlineLevel="0" collapsed="false">
      <c r="A12" s="3" t="s">
        <v>45</v>
      </c>
      <c r="B12" s="5" t="n">
        <v>500</v>
      </c>
    </row>
    <row r="13" customFormat="false" ht="15" hidden="false" customHeight="false" outlineLevel="0" collapsed="false">
      <c r="A13" s="3" t="s">
        <v>46</v>
      </c>
      <c r="B13" s="5" t="n">
        <v>14</v>
      </c>
    </row>
    <row r="14" customFormat="false" ht="15" hidden="false" customHeight="false" outlineLevel="0" collapsed="false">
      <c r="A14" s="3" t="s">
        <v>47</v>
      </c>
      <c r="B14" s="5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9" t="s">
        <v>55</v>
      </c>
      <c r="B6" s="9" t="s">
        <v>56</v>
      </c>
      <c r="C6" s="9" t="s">
        <v>57</v>
      </c>
      <c r="D6" s="10" t="n">
        <v>1.2</v>
      </c>
      <c r="E6" s="9" t="s">
        <v>58</v>
      </c>
    </row>
    <row r="7" customFormat="false" ht="15" hidden="false" customHeight="false" outlineLevel="0" collapsed="false">
      <c r="A7" s="9" t="s">
        <v>55</v>
      </c>
      <c r="B7" s="9" t="s">
        <v>59</v>
      </c>
      <c r="C7" s="9" t="s">
        <v>57</v>
      </c>
      <c r="D7" s="10" t="n">
        <v>1.06</v>
      </c>
      <c r="E7" s="9" t="s">
        <v>60</v>
      </c>
    </row>
    <row r="8" customFormat="false" ht="15" hidden="false" customHeight="false" outlineLevel="0" collapsed="false">
      <c r="A8" s="9" t="s">
        <v>55</v>
      </c>
      <c r="B8" s="9" t="s">
        <v>61</v>
      </c>
      <c r="C8" s="9" t="s">
        <v>57</v>
      </c>
      <c r="D8" s="10" t="n">
        <v>0.87</v>
      </c>
      <c r="E8" s="9" t="s">
        <v>62</v>
      </c>
    </row>
    <row r="9" customFormat="false" ht="15" hidden="false" customHeight="false" outlineLevel="0" collapsed="false">
      <c r="A9" s="9" t="s">
        <v>55</v>
      </c>
      <c r="B9" s="9" t="s">
        <v>63</v>
      </c>
      <c r="C9" s="9" t="s">
        <v>57</v>
      </c>
      <c r="D9" s="10" t="n">
        <v>0.93</v>
      </c>
      <c r="E9" s="9" t="s">
        <v>62</v>
      </c>
    </row>
    <row r="10" customFormat="false" ht="15" hidden="false" customHeight="false" outlineLevel="0" collapsed="false">
      <c r="A10" s="9" t="s">
        <v>55</v>
      </c>
      <c r="B10" s="9" t="s">
        <v>64</v>
      </c>
      <c r="C10" s="9" t="s">
        <v>57</v>
      </c>
      <c r="D10" s="10" t="n">
        <v>0.84</v>
      </c>
      <c r="E10" s="9" t="s">
        <v>62</v>
      </c>
    </row>
    <row r="11" customFormat="false" ht="15" hidden="false" customHeight="false" outlineLevel="0" collapsed="false">
      <c r="A11" s="9" t="s">
        <v>55</v>
      </c>
      <c r="B11" s="9" t="s">
        <v>65</v>
      </c>
      <c r="C11" s="9" t="s">
        <v>57</v>
      </c>
      <c r="D11" s="10" t="n">
        <v>1.35</v>
      </c>
      <c r="E11" s="9" t="s">
        <v>62</v>
      </c>
    </row>
    <row r="12" customFormat="false" ht="15" hidden="false" customHeight="false" outlineLevel="0" collapsed="false">
      <c r="A12" s="9" t="s">
        <v>55</v>
      </c>
      <c r="B12" s="9" t="s">
        <v>66</v>
      </c>
      <c r="C12" s="9" t="s">
        <v>57</v>
      </c>
      <c r="D12" s="10" t="n">
        <v>1.5</v>
      </c>
      <c r="E12" s="9" t="s">
        <v>62</v>
      </c>
    </row>
    <row r="13" customFormat="false" ht="15" hidden="false" customHeight="false" outlineLevel="0" collapsed="false">
      <c r="A13" s="9" t="s">
        <v>55</v>
      </c>
      <c r="B13" s="9" t="s">
        <v>67</v>
      </c>
      <c r="C13" s="9" t="s">
        <v>57</v>
      </c>
      <c r="D13" s="10" t="n">
        <v>1.12</v>
      </c>
      <c r="E13" s="9" t="s">
        <v>62</v>
      </c>
    </row>
    <row r="14" customFormat="false" ht="15" hidden="false" customHeight="false" outlineLevel="0" collapsed="false">
      <c r="A14" s="9" t="s">
        <v>68</v>
      </c>
      <c r="B14" s="9" t="s">
        <v>69</v>
      </c>
      <c r="C14" s="9" t="s">
        <v>70</v>
      </c>
      <c r="D14" s="10" t="n">
        <v>35</v>
      </c>
      <c r="E14" s="9"/>
    </row>
    <row r="15" customFormat="false" ht="15" hidden="false" customHeight="false" outlineLevel="0" collapsed="false">
      <c r="A15" s="9" t="s">
        <v>68</v>
      </c>
      <c r="B15" s="9" t="s">
        <v>71</v>
      </c>
      <c r="C15" s="9" t="s">
        <v>70</v>
      </c>
      <c r="D15" s="10" t="n">
        <v>4.5</v>
      </c>
      <c r="E15" s="9" t="s">
        <v>72</v>
      </c>
    </row>
    <row r="16" customFormat="false" ht="15" hidden="false" customHeight="false" outlineLevel="0" collapsed="false">
      <c r="A16" s="9" t="s">
        <v>68</v>
      </c>
      <c r="B16" s="9" t="s">
        <v>73</v>
      </c>
      <c r="C16" s="9" t="s">
        <v>70</v>
      </c>
      <c r="D16" s="10" t="n">
        <v>75</v>
      </c>
      <c r="E16" s="9" t="s">
        <v>74</v>
      </c>
    </row>
    <row r="17" customFormat="false" ht="15" hidden="false" customHeight="false" outlineLevel="0" collapsed="false">
      <c r="A17" s="9" t="s">
        <v>68</v>
      </c>
      <c r="B17" s="9" t="s">
        <v>75</v>
      </c>
      <c r="C17" s="9" t="s">
        <v>70</v>
      </c>
      <c r="D17" s="10" t="n">
        <v>75</v>
      </c>
      <c r="E17" s="9"/>
    </row>
    <row r="18" customFormat="false" ht="15" hidden="false" customHeight="false" outlineLevel="0" collapsed="false">
      <c r="A18" s="9" t="s">
        <v>68</v>
      </c>
      <c r="B18" s="9" t="s">
        <v>76</v>
      </c>
      <c r="C18" s="9" t="s">
        <v>70</v>
      </c>
      <c r="D18" s="10" t="n">
        <v>195</v>
      </c>
      <c r="E18" s="9" t="s">
        <v>77</v>
      </c>
    </row>
    <row r="19" customFormat="false" ht="15" hidden="false" customHeight="false" outlineLevel="0" collapsed="false">
      <c r="A19" s="9" t="s">
        <v>78</v>
      </c>
      <c r="B19" s="9" t="s">
        <v>79</v>
      </c>
      <c r="C19" s="9" t="s">
        <v>80</v>
      </c>
      <c r="D19" s="10" t="n">
        <v>75</v>
      </c>
      <c r="E19" s="9" t="s">
        <v>81</v>
      </c>
    </row>
    <row r="20" customFormat="false" ht="15" hidden="false" customHeight="false" outlineLevel="0" collapsed="false">
      <c r="A20" s="9" t="s">
        <v>78</v>
      </c>
      <c r="B20" s="9" t="s">
        <v>82</v>
      </c>
      <c r="C20" s="9" t="s">
        <v>57</v>
      </c>
      <c r="D20" s="10" t="n">
        <v>0.55</v>
      </c>
      <c r="E20" s="9" t="s">
        <v>83</v>
      </c>
    </row>
    <row r="21" customFormat="false" ht="15" hidden="false" customHeight="false" outlineLevel="0" collapsed="false">
      <c r="A21" s="9" t="s">
        <v>78</v>
      </c>
      <c r="B21" s="9" t="s">
        <v>84</v>
      </c>
      <c r="C21" s="9" t="s">
        <v>85</v>
      </c>
      <c r="D21" s="10" t="n">
        <v>50</v>
      </c>
      <c r="E21" s="9" t="s">
        <v>86</v>
      </c>
    </row>
    <row r="22" customFormat="false" ht="15" hidden="false" customHeight="false" outlineLevel="0" collapsed="false">
      <c r="A22" s="9" t="s">
        <v>78</v>
      </c>
      <c r="B22" s="9" t="s">
        <v>87</v>
      </c>
      <c r="C22" s="9" t="s">
        <v>85</v>
      </c>
      <c r="D22" s="10" t="n">
        <v>250</v>
      </c>
      <c r="E22" s="9" t="s">
        <v>88</v>
      </c>
    </row>
    <row r="23" customFormat="false" ht="15" hidden="false" customHeight="false" outlineLevel="0" collapsed="false">
      <c r="A23" s="9" t="s">
        <v>78</v>
      </c>
      <c r="B23" s="9" t="s">
        <v>89</v>
      </c>
      <c r="C23" s="9" t="s">
        <v>80</v>
      </c>
      <c r="D23" s="10" t="n">
        <v>75</v>
      </c>
      <c r="E23" s="9" t="s">
        <v>90</v>
      </c>
    </row>
    <row r="24" customFormat="false" ht="15" hidden="false" customHeight="false" outlineLevel="0" collapsed="false">
      <c r="A24" s="9" t="s">
        <v>78</v>
      </c>
      <c r="B24" s="9" t="s">
        <v>91</v>
      </c>
      <c r="C24" s="9" t="s">
        <v>92</v>
      </c>
      <c r="D24" s="10" t="n">
        <v>1200</v>
      </c>
      <c r="E24" s="9" t="s">
        <v>93</v>
      </c>
    </row>
    <row r="25" customFormat="false" ht="15" hidden="false" customHeight="false" outlineLevel="0" collapsed="false">
      <c r="A25" s="9" t="s">
        <v>78</v>
      </c>
      <c r="B25" s="9" t="s">
        <v>94</v>
      </c>
      <c r="C25" s="9" t="s">
        <v>95</v>
      </c>
      <c r="D25" s="10" t="n">
        <v>0.1</v>
      </c>
      <c r="E25" s="9" t="s">
        <v>96</v>
      </c>
    </row>
    <row r="26" customFormat="false" ht="15" hidden="false" customHeight="false" outlineLevel="0" collapsed="false">
      <c r="A26" s="9" t="s">
        <v>97</v>
      </c>
      <c r="B26" s="9" t="s">
        <v>98</v>
      </c>
      <c r="C26" s="9" t="s">
        <v>80</v>
      </c>
      <c r="D26" s="10" t="n">
        <v>75</v>
      </c>
      <c r="E26" s="9" t="s">
        <v>99</v>
      </c>
    </row>
    <row r="27" customFormat="false" ht="15" hidden="false" customHeight="false" outlineLevel="0" collapsed="false">
      <c r="A27" s="9" t="s">
        <v>97</v>
      </c>
      <c r="B27" s="9" t="s">
        <v>100</v>
      </c>
      <c r="C27" s="9" t="s">
        <v>80</v>
      </c>
      <c r="D27" s="10" t="n">
        <v>82</v>
      </c>
      <c r="E27" s="9"/>
    </row>
    <row r="28" customFormat="false" ht="15" hidden="false" customHeight="false" outlineLevel="0" collapsed="false">
      <c r="A28" s="9" t="s">
        <v>97</v>
      </c>
      <c r="B28" s="9" t="s">
        <v>101</v>
      </c>
      <c r="C28" s="9" t="s">
        <v>80</v>
      </c>
      <c r="D28" s="10" t="n">
        <v>95</v>
      </c>
      <c r="E28" s="9" t="s">
        <v>102</v>
      </c>
    </row>
    <row r="29" customFormat="false" ht="15" hidden="false" customHeight="false" outlineLevel="0" collapsed="false">
      <c r="A29" s="9" t="s">
        <v>103</v>
      </c>
      <c r="B29" s="9" t="s">
        <v>104</v>
      </c>
      <c r="C29" s="9" t="s">
        <v>80</v>
      </c>
      <c r="D29" s="10" t="n">
        <v>300</v>
      </c>
      <c r="E29" s="9" t="s">
        <v>105</v>
      </c>
    </row>
    <row r="30" customFormat="false" ht="15" hidden="false" customHeight="false" outlineLevel="0" collapsed="false">
      <c r="A30" s="9" t="s">
        <v>103</v>
      </c>
      <c r="B30" s="9" t="s">
        <v>106</v>
      </c>
      <c r="C30" s="9" t="s">
        <v>107</v>
      </c>
      <c r="D30" s="10" t="n">
        <v>1500</v>
      </c>
      <c r="E30" s="9"/>
    </row>
    <row r="31" customFormat="false" ht="15" hidden="false" customHeight="false" outlineLevel="0" collapsed="false">
      <c r="A31" s="9" t="s">
        <v>103</v>
      </c>
      <c r="B31" s="9" t="s">
        <v>108</v>
      </c>
      <c r="C31" s="9" t="s">
        <v>107</v>
      </c>
      <c r="D31" s="10" t="n">
        <v>1225</v>
      </c>
      <c r="E31" s="9"/>
    </row>
    <row r="32" customFormat="false" ht="15" hidden="false" customHeight="false" outlineLevel="0" collapsed="false">
      <c r="A32" s="9" t="s">
        <v>103</v>
      </c>
      <c r="B32" s="9" t="s">
        <v>109</v>
      </c>
      <c r="C32" s="9" t="s">
        <v>107</v>
      </c>
      <c r="D32" s="10" t="n">
        <v>600</v>
      </c>
      <c r="E32" s="9"/>
    </row>
    <row r="33" customFormat="false" ht="15" hidden="false" customHeight="false" outlineLevel="0" collapsed="false">
      <c r="A33" s="9" t="s">
        <v>103</v>
      </c>
      <c r="B33" s="9" t="s">
        <v>110</v>
      </c>
      <c r="C33" s="9" t="s">
        <v>107</v>
      </c>
      <c r="D33" s="10" t="n">
        <v>200</v>
      </c>
      <c r="E33" s="9"/>
    </row>
    <row r="34" customFormat="false" ht="15" hidden="false" customHeight="false" outlineLevel="0" collapsed="false">
      <c r="A34" s="9" t="s">
        <v>111</v>
      </c>
      <c r="B34" s="9" t="s">
        <v>112</v>
      </c>
      <c r="C34" s="9" t="s">
        <v>70</v>
      </c>
      <c r="D34" s="10" t="n">
        <v>5000</v>
      </c>
      <c r="E34" s="9"/>
    </row>
    <row r="35" customFormat="false" ht="15" hidden="false" customHeight="false" outlineLevel="0" collapsed="false">
      <c r="A35" s="9" t="s">
        <v>111</v>
      </c>
      <c r="B35" s="9" t="s">
        <v>113</v>
      </c>
      <c r="C35" s="9" t="s">
        <v>70</v>
      </c>
      <c r="D35" s="10" t="n">
        <v>2103</v>
      </c>
      <c r="E35" s="9" t="s">
        <v>114</v>
      </c>
    </row>
    <row r="36" customFormat="false" ht="15" hidden="false" customHeight="false" outlineLevel="0" collapsed="false">
      <c r="A36" s="9" t="s">
        <v>111</v>
      </c>
      <c r="B36" s="9" t="s">
        <v>115</v>
      </c>
      <c r="C36" s="9" t="s">
        <v>70</v>
      </c>
      <c r="D36" s="10" t="n">
        <v>195</v>
      </c>
      <c r="E36" s="9" t="s">
        <v>77</v>
      </c>
    </row>
    <row r="37" customFormat="false" ht="15" hidden="false" customHeight="false" outlineLevel="0" collapsed="false">
      <c r="A37" s="9" t="s">
        <v>116</v>
      </c>
      <c r="B37" s="9" t="s">
        <v>117</v>
      </c>
      <c r="C37" s="9" t="s">
        <v>118</v>
      </c>
      <c r="D37" s="11" t="s">
        <v>119</v>
      </c>
      <c r="E37" s="9" t="s">
        <v>120</v>
      </c>
    </row>
    <row r="38" customFormat="false" ht="15" hidden="false" customHeight="false" outlineLevel="0" collapsed="false">
      <c r="A38" s="9" t="s">
        <v>116</v>
      </c>
      <c r="B38" s="9" t="s">
        <v>121</v>
      </c>
      <c r="C38" s="9" t="s">
        <v>122</v>
      </c>
      <c r="D38" s="11" t="s">
        <v>119</v>
      </c>
      <c r="E38" s="9" t="s">
        <v>120</v>
      </c>
    </row>
    <row r="39" customFormat="false" ht="15" hidden="false" customHeight="false" outlineLevel="0" collapsed="false">
      <c r="A39" s="9" t="s">
        <v>123</v>
      </c>
      <c r="B39" s="9" t="s">
        <v>124</v>
      </c>
      <c r="C39" s="9" t="s">
        <v>125</v>
      </c>
      <c r="D39" s="10" t="n">
        <v>9</v>
      </c>
      <c r="E39" s="9"/>
    </row>
    <row r="40" customFormat="false" ht="15" hidden="false" customHeight="false" outlineLevel="0" collapsed="false">
      <c r="A40" s="9" t="s">
        <v>123</v>
      </c>
      <c r="B40" s="9" t="s">
        <v>126</v>
      </c>
      <c r="C40" s="9" t="s">
        <v>125</v>
      </c>
      <c r="D40" s="10" t="n">
        <v>9</v>
      </c>
      <c r="E40" s="9"/>
    </row>
    <row r="41" customFormat="false" ht="15" hidden="false" customHeight="false" outlineLevel="0" collapsed="false">
      <c r="A41" s="9" t="s">
        <v>123</v>
      </c>
      <c r="B41" s="9" t="s">
        <v>127</v>
      </c>
      <c r="C41" s="9" t="s">
        <v>128</v>
      </c>
      <c r="D41" s="10" t="n">
        <v>38.4</v>
      </c>
      <c r="E41" s="9"/>
    </row>
    <row r="42" customFormat="false" ht="15" hidden="false" customHeight="false" outlineLevel="0" collapsed="false">
      <c r="A42" s="9" t="s">
        <v>123</v>
      </c>
      <c r="B42" s="9" t="s">
        <v>129</v>
      </c>
      <c r="C42" s="9" t="s">
        <v>130</v>
      </c>
      <c r="D42" s="10" t="n">
        <v>10</v>
      </c>
      <c r="E42" s="9"/>
    </row>
    <row r="43" customFormat="false" ht="15" hidden="false" customHeight="false" outlineLevel="0" collapsed="false">
      <c r="A43" s="9" t="s">
        <v>123</v>
      </c>
      <c r="B43" s="9" t="s">
        <v>131</v>
      </c>
      <c r="C43" s="9" t="s">
        <v>132</v>
      </c>
      <c r="D43" s="11" t="s">
        <v>133</v>
      </c>
      <c r="E43" s="9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46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15" hidden="false" customHeight="false" outlineLevel="0" collapsed="false">
      <c r="A4" s="0" t="s">
        <v>137</v>
      </c>
      <c r="B4" s="0" t="s">
        <v>138</v>
      </c>
      <c r="C4" s="0" t="s">
        <v>139</v>
      </c>
      <c r="D4" s="0" t="s">
        <v>140</v>
      </c>
      <c r="E4" s="0" t="s">
        <v>141</v>
      </c>
      <c r="F4" s="0" t="s">
        <v>142</v>
      </c>
      <c r="G4" s="0" t="s">
        <v>52</v>
      </c>
      <c r="H4" s="0" t="s">
        <v>143</v>
      </c>
      <c r="I4" s="0" t="s">
        <v>144</v>
      </c>
      <c r="J4" s="0" t="s">
        <v>145</v>
      </c>
      <c r="K4" s="0" t="s">
        <v>146</v>
      </c>
      <c r="L4" s="0" t="s">
        <v>147</v>
      </c>
      <c r="M4" s="0" t="s">
        <v>148</v>
      </c>
      <c r="N4" s="0" t="s">
        <v>54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12" t="n">
        <v>1</v>
      </c>
      <c r="B6" s="12" t="s">
        <v>149</v>
      </c>
      <c r="C6" s="12" t="s">
        <v>150</v>
      </c>
      <c r="D6" s="12" t="s">
        <v>59</v>
      </c>
      <c r="E6" s="12" t="s">
        <v>151</v>
      </c>
      <c r="F6" s="10" t="n">
        <v>3</v>
      </c>
      <c r="G6" s="12" t="s">
        <v>152</v>
      </c>
      <c r="H6" s="10" t="n">
        <v>238</v>
      </c>
      <c r="I6" s="12" t="n">
        <f aca="false">IF(F6="","",F6*H6)</f>
        <v>714</v>
      </c>
      <c r="J6" s="13" t="n">
        <v>0.08</v>
      </c>
      <c r="K6" s="12" t="n">
        <f aca="false">IF(I6="","",I6*(1+J6))</f>
        <v>771.12</v>
      </c>
      <c r="L6" s="12" t="str">
        <f aca="false">IF(J6="","",IF(J6&gt;0.3,"HARD FAIL",IF(J6&gt;=0.2,"CAUTION","PASS")))</f>
        <v>PASS</v>
      </c>
      <c r="M6" s="12" t="s">
        <v>153</v>
      </c>
      <c r="N6" s="14" t="s">
        <v>154</v>
      </c>
    </row>
    <row r="7" customFormat="false" ht="15" hidden="false" customHeight="false" outlineLevel="0" collapsed="false">
      <c r="A7" s="12" t="n">
        <v>2</v>
      </c>
      <c r="B7" s="12" t="s">
        <v>155</v>
      </c>
      <c r="C7" s="12" t="s">
        <v>156</v>
      </c>
      <c r="D7" s="12" t="s">
        <v>59</v>
      </c>
      <c r="E7" s="12" t="s">
        <v>151</v>
      </c>
      <c r="F7" s="10" t="n">
        <v>6</v>
      </c>
      <c r="G7" s="12" t="s">
        <v>152</v>
      </c>
      <c r="H7" s="10" t="n">
        <v>267.4</v>
      </c>
      <c r="I7" s="12" t="n">
        <f aca="false">IF(F7="","",F7*H7)</f>
        <v>1604.4</v>
      </c>
      <c r="J7" s="13" t="n">
        <v>0.08</v>
      </c>
      <c r="K7" s="12" t="n">
        <f aca="false">IF(I7="","",I7*(1+J7))</f>
        <v>1732.752</v>
      </c>
      <c r="L7" s="12" t="str">
        <f aca="false">IF(J7="","",IF(J7&gt;0.3,"HARD FAIL",IF(J7&gt;=0.2,"CAUTION","PASS")))</f>
        <v>PASS</v>
      </c>
      <c r="M7" s="12" t="s">
        <v>153</v>
      </c>
      <c r="N7" s="14" t="s">
        <v>154</v>
      </c>
    </row>
    <row r="8" customFormat="false" ht="28.35" hidden="false" customHeight="false" outlineLevel="0" collapsed="false">
      <c r="A8" s="12" t="n">
        <v>3</v>
      </c>
      <c r="B8" s="12" t="s">
        <v>157</v>
      </c>
      <c r="C8" s="12" t="s">
        <v>158</v>
      </c>
      <c r="D8" s="12" t="s">
        <v>56</v>
      </c>
      <c r="E8" s="12" t="s">
        <v>56</v>
      </c>
      <c r="F8" s="10" t="n">
        <v>1</v>
      </c>
      <c r="G8" s="12" t="s">
        <v>152</v>
      </c>
      <c r="H8" s="10" t="n">
        <v>1200</v>
      </c>
      <c r="I8" s="12" t="n">
        <f aca="false">IF(F8="","",F8*H8)</f>
        <v>1200</v>
      </c>
      <c r="J8" s="13" t="n">
        <v>0.08</v>
      </c>
      <c r="K8" s="12" t="n">
        <f aca="false">IF(I8="","",I8*(1+J8))</f>
        <v>1296</v>
      </c>
      <c r="L8" s="12" t="str">
        <f aca="false">IF(J8="","",IF(J8&gt;0.3,"HARD FAIL",IF(J8&gt;=0.2,"CAUTION","PASS")))</f>
        <v>PASS</v>
      </c>
      <c r="M8" s="12" t="s">
        <v>159</v>
      </c>
      <c r="N8" s="14" t="s">
        <v>160</v>
      </c>
    </row>
    <row r="9" customFormat="false" ht="15" hidden="false" customHeight="false" outlineLevel="0" collapsed="false">
      <c r="A9" s="12" t="n">
        <v>4</v>
      </c>
      <c r="B9" s="12" t="s">
        <v>161</v>
      </c>
      <c r="C9" s="12" t="s">
        <v>162</v>
      </c>
      <c r="D9" s="12" t="s">
        <v>56</v>
      </c>
      <c r="E9" s="12" t="s">
        <v>56</v>
      </c>
      <c r="F9" s="10" t="n">
        <v>1</v>
      </c>
      <c r="G9" s="12" t="s">
        <v>152</v>
      </c>
      <c r="H9" s="10" t="n">
        <v>687.27</v>
      </c>
      <c r="I9" s="12" t="n">
        <f aca="false">IF(F9="","",F9*H9)</f>
        <v>687.27</v>
      </c>
      <c r="J9" s="13" t="n">
        <v>0.08</v>
      </c>
      <c r="K9" s="12" t="n">
        <f aca="false">IF(I9="","",I9*(1+J9))</f>
        <v>742.2516</v>
      </c>
      <c r="L9" s="12" t="str">
        <f aca="false">IF(J9="","",IF(J9&gt;0.3,"HARD FAIL",IF(J9&gt;=0.2,"CAUTION","PASS")))</f>
        <v>PASS</v>
      </c>
      <c r="M9" s="12" t="s">
        <v>163</v>
      </c>
      <c r="N9" s="14" t="s">
        <v>164</v>
      </c>
    </row>
    <row r="10" customFormat="false" ht="15" hidden="false" customHeight="false" outlineLevel="0" collapsed="false">
      <c r="A10" s="12" t="n">
        <v>5</v>
      </c>
      <c r="B10" s="12" t="s">
        <v>157</v>
      </c>
      <c r="C10" s="12" t="s">
        <v>165</v>
      </c>
      <c r="D10" s="12" t="s">
        <v>56</v>
      </c>
      <c r="E10" s="12" t="s">
        <v>56</v>
      </c>
      <c r="F10" s="10" t="n">
        <v>1</v>
      </c>
      <c r="G10" s="12" t="s">
        <v>152</v>
      </c>
      <c r="H10" s="10" t="n">
        <v>932.16</v>
      </c>
      <c r="I10" s="12" t="n">
        <f aca="false">IF(F10="","",F10*H10)</f>
        <v>932.16</v>
      </c>
      <c r="J10" s="13" t="n">
        <v>0.08</v>
      </c>
      <c r="K10" s="12" t="n">
        <f aca="false">IF(I10="","",I10*(1+J10))</f>
        <v>1006.7328</v>
      </c>
      <c r="L10" s="12" t="str">
        <f aca="false">IF(J10="","",IF(J10&gt;0.3,"HARD FAIL",IF(J10&gt;=0.2,"CAUTION","PASS")))</f>
        <v>PASS</v>
      </c>
      <c r="M10" s="12" t="s">
        <v>166</v>
      </c>
      <c r="N10" s="14" t="s">
        <v>164</v>
      </c>
    </row>
    <row r="11" customFormat="false" ht="15" hidden="false" customHeight="false" outlineLevel="0" collapsed="false">
      <c r="A11" s="12" t="n">
        <v>6</v>
      </c>
      <c r="B11" s="12" t="s">
        <v>167</v>
      </c>
      <c r="C11" s="12" t="s">
        <v>168</v>
      </c>
      <c r="D11" s="12" t="s">
        <v>56</v>
      </c>
      <c r="E11" s="12" t="s">
        <v>56</v>
      </c>
      <c r="F11" s="10" t="n">
        <v>1</v>
      </c>
      <c r="G11" s="12" t="s">
        <v>152</v>
      </c>
      <c r="H11" s="10" t="n">
        <v>979</v>
      </c>
      <c r="I11" s="12" t="n">
        <f aca="false">IF(F11="","",F11*H11)</f>
        <v>979</v>
      </c>
      <c r="J11" s="13" t="n">
        <v>0.08</v>
      </c>
      <c r="K11" s="12" t="n">
        <f aca="false">IF(I11="","",I11*(1+J11))</f>
        <v>1057.32</v>
      </c>
      <c r="L11" s="12" t="str">
        <f aca="false">IF(J11="","",IF(J11&gt;0.3,"HARD FAIL",IF(J11&gt;=0.2,"CAUTION","PASS")))</f>
        <v>PASS</v>
      </c>
      <c r="M11" s="12" t="s">
        <v>169</v>
      </c>
      <c r="N11" s="14" t="s">
        <v>164</v>
      </c>
    </row>
    <row r="12" customFormat="false" ht="15" hidden="false" customHeight="false" outlineLevel="0" collapsed="false">
      <c r="A12" s="12" t="n">
        <v>7</v>
      </c>
      <c r="B12" s="12" t="s">
        <v>170</v>
      </c>
      <c r="C12" s="12" t="s">
        <v>171</v>
      </c>
      <c r="D12" s="12" t="s">
        <v>56</v>
      </c>
      <c r="E12" s="12" t="s">
        <v>56</v>
      </c>
      <c r="F12" s="10" t="n">
        <v>1</v>
      </c>
      <c r="G12" s="12" t="s">
        <v>152</v>
      </c>
      <c r="H12" s="10" t="n">
        <v>775</v>
      </c>
      <c r="I12" s="12" t="n">
        <f aca="false">IF(F12="","",F12*H12)</f>
        <v>775</v>
      </c>
      <c r="J12" s="13" t="n">
        <v>0.08</v>
      </c>
      <c r="K12" s="12" t="n">
        <f aca="false">IF(I12="","",I12*(1+J12))</f>
        <v>837</v>
      </c>
      <c r="L12" s="12" t="str">
        <f aca="false">IF(J12="","",IF(J12&gt;0.3,"HARD FAIL",IF(J12&gt;=0.2,"CAUTION","PASS")))</f>
        <v>PASS</v>
      </c>
      <c r="M12" s="12" t="s">
        <v>159</v>
      </c>
      <c r="N12" s="14" t="s">
        <v>164</v>
      </c>
    </row>
    <row r="13" customFormat="false" ht="15" hidden="false" customHeight="false" outlineLevel="0" collapsed="false">
      <c r="A13" s="12" t="n">
        <v>8</v>
      </c>
      <c r="B13" s="12" t="s">
        <v>172</v>
      </c>
      <c r="C13" s="12" t="s">
        <v>173</v>
      </c>
      <c r="D13" s="12" t="s">
        <v>56</v>
      </c>
      <c r="E13" s="12" t="s">
        <v>56</v>
      </c>
      <c r="F13" s="10" t="n">
        <v>1</v>
      </c>
      <c r="G13" s="12" t="s">
        <v>152</v>
      </c>
      <c r="H13" s="10" t="n">
        <v>1219.35</v>
      </c>
      <c r="I13" s="12" t="n">
        <f aca="false">IF(F13="","",F13*H13)</f>
        <v>1219.35</v>
      </c>
      <c r="J13" s="13" t="n">
        <v>0.08</v>
      </c>
      <c r="K13" s="12" t="n">
        <f aca="false">IF(I13="","",I13*(1+J13))</f>
        <v>1316.898</v>
      </c>
      <c r="L13" s="12" t="str">
        <f aca="false">IF(J13="","",IF(J13&gt;0.3,"HARD FAIL",IF(J13&gt;=0.2,"CAUTION","PASS")))</f>
        <v>PASS</v>
      </c>
      <c r="M13" s="12" t="s">
        <v>163</v>
      </c>
      <c r="N13" s="14" t="s">
        <v>164</v>
      </c>
    </row>
    <row r="14" customFormat="false" ht="15" hidden="false" customHeight="false" outlineLevel="0" collapsed="false">
      <c r="A14" s="12" t="n">
        <v>9</v>
      </c>
      <c r="B14" s="12" t="s">
        <v>174</v>
      </c>
      <c r="C14" s="12" t="s">
        <v>175</v>
      </c>
      <c r="D14" s="12" t="s">
        <v>56</v>
      </c>
      <c r="E14" s="12" t="s">
        <v>56</v>
      </c>
      <c r="F14" s="10" t="n">
        <v>1</v>
      </c>
      <c r="G14" s="12" t="s">
        <v>152</v>
      </c>
      <c r="H14" s="10" t="n">
        <v>854.48</v>
      </c>
      <c r="I14" s="12" t="n">
        <f aca="false">IF(F14="","",F14*H14)</f>
        <v>854.48</v>
      </c>
      <c r="J14" s="13" t="n">
        <v>0.08</v>
      </c>
      <c r="K14" s="12" t="n">
        <f aca="false">IF(I14="","",I14*(1+J14))</f>
        <v>922.8384</v>
      </c>
      <c r="L14" s="12" t="str">
        <f aca="false">IF(J14="","",IF(J14&gt;0.3,"HARD FAIL",IF(J14&gt;=0.2,"CAUTION","PASS")))</f>
        <v>PASS</v>
      </c>
      <c r="M14" s="12" t="s">
        <v>166</v>
      </c>
      <c r="N14" s="14" t="s">
        <v>164</v>
      </c>
    </row>
    <row r="15" customFormat="false" ht="15" hidden="false" customHeight="false" outlineLevel="0" collapsed="false">
      <c r="A15" s="12" t="n">
        <v>10</v>
      </c>
      <c r="B15" s="12" t="s">
        <v>176</v>
      </c>
      <c r="C15" s="12" t="s">
        <v>177</v>
      </c>
      <c r="D15" s="12" t="s">
        <v>56</v>
      </c>
      <c r="E15" s="12" t="s">
        <v>56</v>
      </c>
      <c r="F15" s="10" t="n">
        <v>1</v>
      </c>
      <c r="G15" s="12" t="s">
        <v>152</v>
      </c>
      <c r="H15" s="10" t="n">
        <v>1379.5</v>
      </c>
      <c r="I15" s="12" t="n">
        <f aca="false">IF(F15="","",F15*H15)</f>
        <v>1379.5</v>
      </c>
      <c r="J15" s="13" t="n">
        <v>0.08</v>
      </c>
      <c r="K15" s="12" t="n">
        <f aca="false">IF(I15="","",I15*(1+J15))</f>
        <v>1489.86</v>
      </c>
      <c r="L15" s="12" t="str">
        <f aca="false">IF(J15="","",IF(J15&gt;0.3,"HARD FAIL",IF(J15&gt;=0.2,"CAUTION","PASS")))</f>
        <v>PASS</v>
      </c>
      <c r="M15" s="12" t="s">
        <v>169</v>
      </c>
      <c r="N15" s="14" t="s">
        <v>164</v>
      </c>
    </row>
    <row r="16" customFormat="false" ht="28.35" hidden="false" customHeight="false" outlineLevel="0" collapsed="false">
      <c r="A16" s="12" t="n">
        <v>11</v>
      </c>
      <c r="B16" s="12" t="s">
        <v>178</v>
      </c>
      <c r="C16" s="12" t="s">
        <v>179</v>
      </c>
      <c r="D16" s="12" t="s">
        <v>56</v>
      </c>
      <c r="E16" s="12" t="s">
        <v>56</v>
      </c>
      <c r="F16" s="10" t="n">
        <v>1</v>
      </c>
      <c r="G16" s="12" t="s">
        <v>152</v>
      </c>
      <c r="H16" s="10" t="n">
        <v>160</v>
      </c>
      <c r="I16" s="12" t="n">
        <f aca="false">IF(F16="","",F16*H16)</f>
        <v>160</v>
      </c>
      <c r="J16" s="13" t="n">
        <v>0.08</v>
      </c>
      <c r="K16" s="12" t="n">
        <f aca="false">IF(I16="","",I16*(1+J16))</f>
        <v>172.8</v>
      </c>
      <c r="L16" s="12" t="str">
        <f aca="false">IF(J16="","",IF(J16&gt;0.3,"HARD FAIL",IF(J16&gt;=0.2,"CAUTION","PASS")))</f>
        <v>PASS</v>
      </c>
      <c r="M16" s="12" t="s">
        <v>180</v>
      </c>
      <c r="N16" s="14" t="s">
        <v>181</v>
      </c>
    </row>
    <row r="17" customFormat="false" ht="28.35" hidden="false" customHeight="false" outlineLevel="0" collapsed="false">
      <c r="A17" s="15" t="n">
        <v>12</v>
      </c>
      <c r="B17" s="15" t="s">
        <v>182</v>
      </c>
      <c r="C17" s="15" t="s">
        <v>183</v>
      </c>
      <c r="D17" s="15" t="s">
        <v>61</v>
      </c>
      <c r="E17" s="15" t="s">
        <v>127</v>
      </c>
      <c r="F17" s="16" t="n">
        <v>193</v>
      </c>
      <c r="G17" s="15" t="s">
        <v>184</v>
      </c>
      <c r="H17" s="16" t="n">
        <v>4.9</v>
      </c>
      <c r="I17" s="15" t="n">
        <f aca="false">IF(F17="","",F17*H17)</f>
        <v>945.7</v>
      </c>
      <c r="J17" s="17" t="n">
        <v>0.08</v>
      </c>
      <c r="K17" s="15" t="n">
        <f aca="false">IF(I17="","",I17*(1+J17))</f>
        <v>1021.356</v>
      </c>
      <c r="L17" s="15" t="str">
        <f aca="false">IF(J17="","",IF(J17&gt;0.3,"HARD FAIL",IF(J17&gt;=0.2,"CAUTION","PASS")))</f>
        <v>PASS</v>
      </c>
      <c r="M17" s="15" t="s">
        <v>185</v>
      </c>
      <c r="N17" s="18" t="s">
        <v>186</v>
      </c>
    </row>
    <row r="18" customFormat="false" ht="28.35" hidden="false" customHeight="false" outlineLevel="0" collapsed="false">
      <c r="A18" s="15" t="n">
        <v>13</v>
      </c>
      <c r="B18" s="15" t="s">
        <v>187</v>
      </c>
      <c r="C18" s="15" t="s">
        <v>188</v>
      </c>
      <c r="D18" s="15" t="s">
        <v>61</v>
      </c>
      <c r="E18" s="15" t="s">
        <v>189</v>
      </c>
      <c r="F18" s="16" t="n">
        <v>2</v>
      </c>
      <c r="G18" s="15" t="s">
        <v>190</v>
      </c>
      <c r="H18" s="16" t="n">
        <v>133.458</v>
      </c>
      <c r="I18" s="15" t="n">
        <f aca="false">IF(F18="","",F18*H18)</f>
        <v>266.916</v>
      </c>
      <c r="J18" s="17" t="n">
        <v>0.08</v>
      </c>
      <c r="K18" s="15" t="n">
        <f aca="false">IF(I18="","",I18*(1+J18))</f>
        <v>288.26928</v>
      </c>
      <c r="L18" s="15" t="str">
        <f aca="false">IF(J18="","",IF(J18&gt;0.3,"HARD FAIL",IF(J18&gt;=0.2,"CAUTION","PASS")))</f>
        <v>PASS</v>
      </c>
      <c r="M18" s="15" t="s">
        <v>191</v>
      </c>
      <c r="N18" s="18" t="s">
        <v>192</v>
      </c>
    </row>
    <row r="19" customFormat="false" ht="28.35" hidden="false" customHeight="false" outlineLevel="0" collapsed="false">
      <c r="A19" s="12" t="n">
        <v>14</v>
      </c>
      <c r="B19" s="12" t="s">
        <v>193</v>
      </c>
      <c r="C19" s="12" t="s">
        <v>188</v>
      </c>
      <c r="D19" s="12" t="s">
        <v>61</v>
      </c>
      <c r="E19" s="12" t="s">
        <v>189</v>
      </c>
      <c r="F19" s="10" t="n">
        <v>10</v>
      </c>
      <c r="G19" s="12" t="s">
        <v>190</v>
      </c>
      <c r="H19" s="10" t="n">
        <v>54.172</v>
      </c>
      <c r="I19" s="12" t="n">
        <f aca="false">IF(F19="","",F19*H19)</f>
        <v>541.72</v>
      </c>
      <c r="J19" s="13" t="n">
        <v>0.08</v>
      </c>
      <c r="K19" s="12" t="n">
        <f aca="false">IF(I19="","",I19*(1+J19))</f>
        <v>585.0576</v>
      </c>
      <c r="L19" s="12" t="str">
        <f aca="false">IF(J19="","",IF(J19&gt;0.3,"HARD FAIL",IF(J19&gt;=0.2,"CAUTION","PASS")))</f>
        <v>PASS</v>
      </c>
      <c r="M19" s="12" t="s">
        <v>194</v>
      </c>
      <c r="N19" s="14" t="s">
        <v>195</v>
      </c>
    </row>
    <row r="20" customFormat="false" ht="15" hidden="false" customHeight="false" outlineLevel="0" collapsed="false">
      <c r="A20" s="12" t="n">
        <v>15</v>
      </c>
      <c r="B20" s="12" t="s">
        <v>196</v>
      </c>
      <c r="C20" s="12" t="s">
        <v>188</v>
      </c>
      <c r="D20" s="12" t="s">
        <v>61</v>
      </c>
      <c r="E20" s="12" t="s">
        <v>189</v>
      </c>
      <c r="F20" s="10" t="n">
        <v>1</v>
      </c>
      <c r="G20" s="12" t="s">
        <v>190</v>
      </c>
      <c r="H20" s="10" t="n">
        <v>64.108</v>
      </c>
      <c r="I20" s="12" t="n">
        <f aca="false">IF(F20="","",F20*H20)</f>
        <v>64.108</v>
      </c>
      <c r="J20" s="13" t="n">
        <v>0.08</v>
      </c>
      <c r="K20" s="12" t="n">
        <f aca="false">IF(I20="","",I20*(1+J20))</f>
        <v>69.23664</v>
      </c>
      <c r="L20" s="12" t="str">
        <f aca="false">IF(J20="","",IF(J20&gt;0.3,"HARD FAIL",IF(J20&gt;=0.2,"CAUTION","PASS")))</f>
        <v>PASS</v>
      </c>
      <c r="M20" s="12" t="s">
        <v>197</v>
      </c>
      <c r="N20" s="14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0" t="s">
        <v>140</v>
      </c>
      <c r="B4" s="0" t="s">
        <v>201</v>
      </c>
      <c r="C4" s="0" t="s">
        <v>202</v>
      </c>
    </row>
    <row r="5" customFormat="false" ht="15" hidden="false" customHeight="false" outlineLevel="0" collapsed="false">
      <c r="A5" s="8"/>
      <c r="B5" s="8"/>
      <c r="C5" s="8"/>
    </row>
    <row r="6" customFormat="false" ht="15" hidden="false" customHeight="false" outlineLevel="0" collapsed="false">
      <c r="A6" s="12" t="s">
        <v>56</v>
      </c>
      <c r="B6" s="12" t="n">
        <f aca="false">SUMIF(Takeoff!$D$6:$D$20,A6,Takeoff!$F$6:$F$20)</f>
        <v>9</v>
      </c>
      <c r="C6" s="12" t="n">
        <f aca="false">SUMIF(Takeoff!$D$6:$D$20,A6,Takeoff!$K$6:$K$20)</f>
        <v>8841.7008</v>
      </c>
    </row>
    <row r="7" customFormat="false" ht="15" hidden="false" customHeight="false" outlineLevel="0" collapsed="false">
      <c r="A7" s="12" t="s">
        <v>59</v>
      </c>
      <c r="B7" s="12" t="n">
        <f aca="false">SUMIF(Takeoff!$D$6:$D$20,A7,Takeoff!$F$6:$F$20)</f>
        <v>9</v>
      </c>
      <c r="C7" s="12" t="n">
        <f aca="false">SUMIF(Takeoff!$D$6:$D$20,A7,Takeoff!$K$6:$K$20)</f>
        <v>2503.872</v>
      </c>
    </row>
    <row r="8" customFormat="false" ht="15" hidden="false" customHeight="false" outlineLevel="0" collapsed="false">
      <c r="A8" s="12" t="s">
        <v>61</v>
      </c>
      <c r="B8" s="12" t="n">
        <f aca="false">SUMIF(Takeoff!$D$6:$D$20,A8,Takeoff!$F$6:$F$20)</f>
        <v>206</v>
      </c>
      <c r="C8" s="12" t="n">
        <f aca="false">SUMIF(Takeoff!$D$6:$D$20,A8,Takeoff!$K$6:$K$20)</f>
        <v>1963.91952</v>
      </c>
    </row>
    <row r="9" customFormat="false" ht="15" hidden="false" customHeight="false" outlineLevel="0" collapsed="false">
      <c r="A9" s="12" t="s">
        <v>63</v>
      </c>
      <c r="B9" s="12" t="n">
        <f aca="false">SUMIF(Takeoff!$D$6:$D$20,A9,Takeoff!$F$6:$F$20)</f>
        <v>0</v>
      </c>
      <c r="C9" s="12" t="n">
        <f aca="false">SUMIF(Takeoff!$D$6:$D$20,A9,Takeoff!$K$6:$K$20)</f>
        <v>0</v>
      </c>
    </row>
    <row r="10" customFormat="false" ht="15" hidden="false" customHeight="false" outlineLevel="0" collapsed="false">
      <c r="A10" s="12" t="s">
        <v>64</v>
      </c>
      <c r="B10" s="12" t="n">
        <f aca="false">SUMIF(Takeoff!$D$6:$D$20,A10,Takeoff!$F$6:$F$20)</f>
        <v>0</v>
      </c>
      <c r="C10" s="12" t="n">
        <f aca="false">SUMIF(Takeoff!$D$6:$D$20,A10,Takeoff!$K$6:$K$20)</f>
        <v>0</v>
      </c>
    </row>
    <row r="11" customFormat="false" ht="15" hidden="false" customHeight="false" outlineLevel="0" collapsed="false">
      <c r="A11" s="12" t="s">
        <v>65</v>
      </c>
      <c r="B11" s="12" t="n">
        <f aca="false">SUMIF(Takeoff!$D$6:$D$20,A11,Takeoff!$F$6:$F$20)</f>
        <v>0</v>
      </c>
      <c r="C11" s="12" t="n">
        <f aca="false">SUMIF(Takeoff!$D$6:$D$20,A11,Takeoff!$K$6:$K$20)</f>
        <v>0</v>
      </c>
    </row>
    <row r="12" customFormat="false" ht="15" hidden="false" customHeight="false" outlineLevel="0" collapsed="false">
      <c r="A12" s="12" t="s">
        <v>66</v>
      </c>
      <c r="B12" s="12" t="n">
        <f aca="false">SUMIF(Takeoff!$D$6:$D$20,A12,Takeoff!$F$6:$F$20)</f>
        <v>0</v>
      </c>
      <c r="C12" s="12" t="n">
        <f aca="false">SUMIF(Takeoff!$D$6:$D$20,A12,Takeoff!$K$6:$K$20)</f>
        <v>0</v>
      </c>
    </row>
    <row r="13" customFormat="false" ht="15" hidden="false" customHeight="false" outlineLevel="0" collapsed="false">
      <c r="A13" s="12" t="s">
        <v>67</v>
      </c>
      <c r="B13" s="12" t="n">
        <f aca="false">SUMIF(Takeoff!$D$6:$D$20,A13,Takeoff!$F$6:$F$20)</f>
        <v>0</v>
      </c>
      <c r="C13" s="12" t="n">
        <f aca="false">SUMIF(Takeoff!$D$6:$D$20,A13,Takeoff!$K$6:$K$20)</f>
        <v>0</v>
      </c>
    </row>
    <row r="14" customFormat="false" ht="15" hidden="false" customHeight="false" outlineLevel="0" collapsed="false">
      <c r="A14" s="4" t="s">
        <v>203</v>
      </c>
      <c r="C14" s="4" t="n">
        <f aca="false">SUM(C6:C13)</f>
        <v>13309.49232</v>
      </c>
    </row>
    <row r="15" customFormat="false" ht="15" hidden="false" customHeight="false" outlineLevel="0" collapsed="false">
      <c r="A15" s="4" t="s">
        <v>204</v>
      </c>
      <c r="C15" s="4" t="n">
        <f aca="false">C14/2000</f>
        <v>6.65474616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3" min="10" style="0" width="12"/>
    <col collapsed="false" customWidth="true" hidden="false" outlineLevel="0" max="14" min="14" style="0" width="46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0" t="s">
        <v>137</v>
      </c>
      <c r="B4" s="0" t="s">
        <v>138</v>
      </c>
      <c r="C4" s="0" t="s">
        <v>140</v>
      </c>
      <c r="D4" s="0" t="s">
        <v>207</v>
      </c>
      <c r="E4" s="0" t="s">
        <v>208</v>
      </c>
      <c r="F4" s="0" t="s">
        <v>209</v>
      </c>
      <c r="G4" s="0" t="s">
        <v>210</v>
      </c>
      <c r="H4" s="0" t="s">
        <v>211</v>
      </c>
      <c r="I4" s="0" t="s">
        <v>212</v>
      </c>
      <c r="J4" s="0" t="s">
        <v>213</v>
      </c>
      <c r="K4" s="0" t="s">
        <v>214</v>
      </c>
      <c r="L4" s="0" t="s">
        <v>215</v>
      </c>
      <c r="M4" s="0" t="s">
        <v>216</v>
      </c>
      <c r="N4" s="0" t="s">
        <v>217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12" t="n">
        <v>1</v>
      </c>
      <c r="B6" s="12" t="s">
        <v>218</v>
      </c>
      <c r="C6" s="12" t="s">
        <v>59</v>
      </c>
      <c r="D6" s="12" t="n">
        <f aca="false">SUMIF(Takeoff!$E$6:$E$20,"HSS Columns",Takeoff!$K$6:$K$20)</f>
        <v>2503.872</v>
      </c>
      <c r="E6" s="12" t="n">
        <f aca="false">IFERROR(VLOOKUP(C6,Rates!$B$6:$D$43,3,FALSE()),"")</f>
        <v>1.06</v>
      </c>
      <c r="F6" s="12" t="n">
        <f aca="false">ROUNDUP(SUMIF(Takeoff!$E$6:$E$20,"HSS Columns",Takeoff!$F$6:$F$20)/VLOOKUP("Columns (set &amp; detail)",Rates!$B$6:$D$43,3,FALSE()),0)*8</f>
        <v>8</v>
      </c>
      <c r="G6" s="12" t="n">
        <f aca="false">IFERROR(VLOOKUP("Local (&lt; 50 mi)",Rates!$B$6:$D$43,3,FALSE()),75)</f>
        <v>75</v>
      </c>
      <c r="H6" s="12" t="n">
        <v>0</v>
      </c>
      <c r="I6" s="12" t="n">
        <v>0</v>
      </c>
      <c r="J6" s="12" t="n">
        <f aca="false">IF(D6="","",IF(Inputs!$B$6="Erect Only",0,D6*E6))</f>
        <v>2654.10432</v>
      </c>
      <c r="K6" s="12" t="n">
        <f aca="false">IF(F6="","",F6*G6)</f>
        <v>600</v>
      </c>
      <c r="L6" s="12" t="n">
        <f aca="false">IF(H6="","",H6*I6)</f>
        <v>0</v>
      </c>
      <c r="M6" s="12" t="n">
        <f aca="false">SUM(J6:L6)</f>
        <v>3254.10432</v>
      </c>
      <c r="N6" s="12" t="s">
        <v>219</v>
      </c>
    </row>
    <row r="7" customFormat="false" ht="15" hidden="false" customHeight="false" outlineLevel="0" collapsed="false">
      <c r="A7" s="12" t="n">
        <v>2</v>
      </c>
      <c r="B7" s="12" t="s">
        <v>220</v>
      </c>
      <c r="C7" s="12" t="s">
        <v>56</v>
      </c>
      <c r="D7" s="12" t="n">
        <f aca="false">SUMIF(Takeoff!$E$6:$E$20,"WF Beams",Takeoff!$K$6:$K$20)</f>
        <v>8841.7008</v>
      </c>
      <c r="E7" s="12" t="n">
        <f aca="false">IFERROR(VLOOKUP(C7,Rates!$B$6:$D$43,3,FALSE()),"")</f>
        <v>1.2</v>
      </c>
      <c r="F7" s="12" t="n">
        <f aca="false">ROUNDUP(SUMIF(Takeoff!$E$6:$E$20,"WF Beams",Takeoff!$F$6:$F$20)/VLOOKUP("Beams",Rates!$B$6:$D$43,3,FALSE()),0)*8</f>
        <v>8</v>
      </c>
      <c r="G7" s="12" t="n">
        <f aca="false">IFERROR(VLOOKUP("Local (&lt; 50 mi)",Rates!$B$6:$D$43,3,FALSE()),75)</f>
        <v>75</v>
      </c>
      <c r="H7" s="12" t="n">
        <v>0</v>
      </c>
      <c r="I7" s="12" t="n">
        <v>0</v>
      </c>
      <c r="J7" s="12" t="n">
        <f aca="false">IF(D7="","",IF(Inputs!$B$6="Erect Only",0,D7*E7))</f>
        <v>10610.04096</v>
      </c>
      <c r="K7" s="12" t="n">
        <f aca="false">IF(F7="","",F7*G7)</f>
        <v>600</v>
      </c>
      <c r="L7" s="12" t="n">
        <f aca="false">IF(H7="","",H7*I7)</f>
        <v>0</v>
      </c>
      <c r="M7" s="12" t="n">
        <f aca="false">SUM(J7:L7)</f>
        <v>11210.04096</v>
      </c>
      <c r="N7" s="12" t="s">
        <v>219</v>
      </c>
    </row>
    <row r="8" customFormat="false" ht="15" hidden="false" customHeight="false" outlineLevel="0" collapsed="false">
      <c r="A8" s="15" t="n">
        <v>3</v>
      </c>
      <c r="B8" s="15" t="s">
        <v>221</v>
      </c>
      <c r="C8" s="15" t="s">
        <v>61</v>
      </c>
      <c r="D8" s="15" t="n">
        <f aca="false">SUMIF(Takeoff!$E$6:$E$20,"Perimeter Angle",Takeoff!$K$6:$K$20)</f>
        <v>1021.356</v>
      </c>
      <c r="E8" s="15" t="n">
        <f aca="false">IFERROR(VLOOKUP(C8,Rates!$B$6:$D$43,3,FALSE()),"")</f>
        <v>0.87</v>
      </c>
      <c r="F8" s="15" t="n">
        <f aca="false">SUMIF(Takeoff!$E$6:$E$20,"Perimeter Angle",Takeoff!$F$6:$F$20)/VLOOKUP("Perimeter Angle",Rates!$B$6:$D$43,3,FALSE())</f>
        <v>5.02604166666667</v>
      </c>
      <c r="G8" s="15" t="n">
        <f aca="false">IFERROR(VLOOKUP("Local (&lt; 50 mi)",Rates!$B$6:$D$43,3,FALSE()),75)</f>
        <v>75</v>
      </c>
      <c r="H8" s="15" t="n">
        <v>0</v>
      </c>
      <c r="I8" s="15" t="n">
        <v>0</v>
      </c>
      <c r="J8" s="15" t="n">
        <f aca="false">IF(D8="","",IF(Inputs!$B$6="Erect Only",0,D8*E8))</f>
        <v>888.57972</v>
      </c>
      <c r="K8" s="15" t="n">
        <f aca="false">IF(F8="","",F8*G8)</f>
        <v>376.953125</v>
      </c>
      <c r="L8" s="15" t="n">
        <f aca="false">IF(H8="","",H8*I8)</f>
        <v>0</v>
      </c>
      <c r="M8" s="15" t="n">
        <f aca="false">SUM(J8:L8)</f>
        <v>1265.532845</v>
      </c>
      <c r="N8" s="15" t="s">
        <v>222</v>
      </c>
    </row>
    <row r="9" customFormat="false" ht="15" hidden="false" customHeight="false" outlineLevel="0" collapsed="false">
      <c r="A9" s="15" t="n">
        <v>4</v>
      </c>
      <c r="B9" s="15" t="s">
        <v>223</v>
      </c>
      <c r="C9" s="15" t="s">
        <v>61</v>
      </c>
      <c r="D9" s="15" t="n">
        <f aca="false">SUMIF(Takeoff!$E$6:$E$20,"Loose Lintels",Takeoff!$K$6:$K$20)</f>
        <v>942.56352</v>
      </c>
      <c r="E9" s="15" t="n">
        <f aca="false">IFERROR(VLOOKUP(C9,Rates!$B$6:$D$43,3,FALSE()),"")</f>
        <v>0.87</v>
      </c>
      <c r="F9" s="15" t="n">
        <v>0</v>
      </c>
      <c r="G9" s="15" t="n">
        <v>0</v>
      </c>
      <c r="H9" s="15" t="n">
        <f aca="false">D9</f>
        <v>942.56352</v>
      </c>
      <c r="I9" s="15" t="n">
        <f aca="false">IFERROR(VLOOKUP("Galvanizing",Rates!$B$6:$D$43,3,FALSE()),"")</f>
        <v>0.55</v>
      </c>
      <c r="J9" s="15" t="n">
        <f aca="false">IF(D9="","",IF(Inputs!$B$6="Erect Only",0,D9*E9))</f>
        <v>820.0302624</v>
      </c>
      <c r="K9" s="15" t="n">
        <f aca="false">IF(F9="","",F9*G9)</f>
        <v>0</v>
      </c>
      <c r="L9" s="15" t="n">
        <v>0</v>
      </c>
      <c r="M9" s="15" t="n">
        <f aca="false">SUM(J9:L9)</f>
        <v>820.0302624</v>
      </c>
      <c r="N9" s="15" t="s">
        <v>224</v>
      </c>
    </row>
    <row r="10" customFormat="false" ht="15" hidden="false" customHeight="false" outlineLevel="0" collapsed="false">
      <c r="A10" s="12" t="n">
        <v>5</v>
      </c>
      <c r="B10" s="12" t="s">
        <v>225</v>
      </c>
      <c r="C10" s="12"/>
      <c r="D10" s="12"/>
      <c r="E10" s="12"/>
      <c r="F10" s="12" t="n">
        <f aca="false">'Summary by Material'!C15*VLOOKUP("Shop Labor multiplier",Rates!$B$6:$D$43,3,FALSE())</f>
        <v>66.5474616</v>
      </c>
      <c r="G10" s="12" t="n">
        <f aca="false">IFERROR(VLOOKUP("Shop Labor",Rates!$B$6:$D$43,3,FALSE()),"")</f>
        <v>75</v>
      </c>
      <c r="H10" s="12" t="n">
        <v>0</v>
      </c>
      <c r="I10" s="12" t="n">
        <v>0</v>
      </c>
      <c r="J10" s="12" t="str">
        <f aca="false">IF(D10="","",IF(Inputs!$B$6="Erect Only",0,D10*E10))</f>
        <v/>
      </c>
      <c r="K10" s="12" t="n">
        <f aca="false">IF(F10="","",F10*G10)</f>
        <v>4991.05962</v>
      </c>
      <c r="L10" s="12" t="n">
        <f aca="false">IF(H10="","",H10*I10)</f>
        <v>0</v>
      </c>
      <c r="M10" s="12" t="n">
        <f aca="false">SUM(J10:L10)</f>
        <v>4991.05962</v>
      </c>
      <c r="N10" s="12" t="s">
        <v>219</v>
      </c>
    </row>
    <row r="11" customFormat="false" ht="15" hidden="false" customHeight="false" outlineLevel="0" collapsed="false">
      <c r="A11" s="15" t="n">
        <v>6</v>
      </c>
      <c r="B11" s="15" t="s">
        <v>226</v>
      </c>
      <c r="C11" s="15" t="s">
        <v>227</v>
      </c>
      <c r="D11" s="15" t="s">
        <v>119</v>
      </c>
      <c r="E11" s="15" t="s">
        <v>119</v>
      </c>
      <c r="F11" s="15" t="s">
        <v>119</v>
      </c>
      <c r="G11" s="15" t="s">
        <v>119</v>
      </c>
      <c r="H11" s="15" t="s">
        <v>119</v>
      </c>
      <c r="I11" s="15" t="s">
        <v>119</v>
      </c>
      <c r="J11" s="15" t="n">
        <v>0</v>
      </c>
      <c r="K11" s="15" t="n">
        <v>0</v>
      </c>
      <c r="L11" s="15" t="n">
        <v>0</v>
      </c>
      <c r="M11" s="15" t="n">
        <f aca="false">SUM(J11:L11)</f>
        <v>0</v>
      </c>
      <c r="N11" s="15" t="s">
        <v>228</v>
      </c>
    </row>
    <row r="12" customFormat="false" ht="15" hidden="false" customHeight="false" outlineLevel="0" collapsed="false">
      <c r="A12" s="15" t="n">
        <v>7</v>
      </c>
      <c r="B12" s="15" t="s">
        <v>229</v>
      </c>
      <c r="C12" s="15" t="s">
        <v>227</v>
      </c>
      <c r="D12" s="15" t="s">
        <v>119</v>
      </c>
      <c r="E12" s="15" t="s">
        <v>119</v>
      </c>
      <c r="F12" s="15" t="s">
        <v>119</v>
      </c>
      <c r="G12" s="15" t="s">
        <v>119</v>
      </c>
      <c r="H12" s="15" t="s">
        <v>119</v>
      </c>
      <c r="I12" s="15" t="s">
        <v>119</v>
      </c>
      <c r="J12" s="15" t="n">
        <v>0</v>
      </c>
      <c r="K12" s="15" t="n">
        <v>0</v>
      </c>
      <c r="L12" s="15" t="n">
        <v>0</v>
      </c>
      <c r="M12" s="15" t="n">
        <f aca="false">SUM(J12:L12)</f>
        <v>0</v>
      </c>
      <c r="N12" s="15" t="s">
        <v>228</v>
      </c>
    </row>
    <row r="13" customFormat="false" ht="15" hidden="false" customHeight="false" outlineLevel="0" collapsed="false">
      <c r="A13" s="15" t="n">
        <v>8</v>
      </c>
      <c r="B13" s="15" t="s">
        <v>230</v>
      </c>
      <c r="C13" s="15" t="s">
        <v>68</v>
      </c>
      <c r="D13" s="15" t="s">
        <v>227</v>
      </c>
      <c r="E13" s="15" t="s">
        <v>227</v>
      </c>
      <c r="F13" s="15" t="n">
        <v>0</v>
      </c>
      <c r="G13" s="15" t="n">
        <v>0</v>
      </c>
      <c r="H13" s="15" t="s">
        <v>133</v>
      </c>
      <c r="I13" s="15" t="n">
        <f aca="false">IFERROR(VLOOKUP("Field Bolts",Rates!$B$6:$D$43,3,FALSE()),"")</f>
        <v>75</v>
      </c>
      <c r="J13" s="15" t="n">
        <v>0</v>
      </c>
      <c r="K13" s="15" t="n">
        <f aca="false">IF(F13="","",F13*G13)</f>
        <v>0</v>
      </c>
      <c r="L13" s="15" t="n">
        <v>0</v>
      </c>
      <c r="M13" s="15" t="n">
        <f aca="false">SUM(J13:L13)</f>
        <v>0</v>
      </c>
      <c r="N13" s="15" t="s">
        <v>231</v>
      </c>
    </row>
    <row r="14" customFormat="false" ht="15" hidden="false" customHeight="false" outlineLevel="0" collapsed="false">
      <c r="A14" s="15" t="n">
        <v>9</v>
      </c>
      <c r="B14" s="15" t="s">
        <v>232</v>
      </c>
      <c r="C14" s="15" t="s">
        <v>78</v>
      </c>
      <c r="D14" s="15"/>
      <c r="E14" s="15"/>
      <c r="F14" s="15" t="s">
        <v>133</v>
      </c>
      <c r="G14" s="15" t="n">
        <f aca="false">IFERROR(VLOOKUP("Painting",Rates!$B$6:$D$43,3,FALSE()),"")</f>
        <v>75</v>
      </c>
      <c r="H14" s="15" t="n">
        <v>0</v>
      </c>
      <c r="I14" s="15" t="n">
        <v>0</v>
      </c>
      <c r="J14" s="15" t="str">
        <f aca="false">IF(D14="","",IF(Inputs!$B$6="Erect Only",0,D14*E14))</f>
        <v/>
      </c>
      <c r="K14" s="15" t="n">
        <v>0</v>
      </c>
      <c r="L14" s="15" t="n">
        <f aca="false">IF(H14="","",H14*I14)</f>
        <v>0</v>
      </c>
      <c r="M14" s="15" t="n">
        <f aca="false">SUM(J14:L14)</f>
        <v>0</v>
      </c>
      <c r="N14" s="15" t="s">
        <v>233</v>
      </c>
    </row>
    <row r="16" customFormat="false" ht="15" hidden="false" customHeight="false" outlineLevel="0" collapsed="false">
      <c r="A16" s="4" t="s">
        <v>234</v>
      </c>
      <c r="J16" s="4" t="n">
        <f aca="false">SUM(J6:J14)</f>
        <v>14972.7552624</v>
      </c>
      <c r="K16" s="4" t="n">
        <f aca="false">SUM(K6:K14)</f>
        <v>6568.012745</v>
      </c>
      <c r="L16" s="4" t="n">
        <f aca="false">SUM(L6:L14)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235</v>
      </c>
    </row>
    <row r="3" customFormat="false" ht="15" hidden="false" customHeight="false" outlineLevel="0" collapsed="false">
      <c r="A3" s="0" t="s">
        <v>51</v>
      </c>
      <c r="B3" s="0" t="s">
        <v>142</v>
      </c>
      <c r="C3" s="0" t="s">
        <v>52</v>
      </c>
      <c r="D3" s="0" t="s">
        <v>236</v>
      </c>
      <c r="E3" s="0" t="s">
        <v>237</v>
      </c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12" t="s">
        <v>69</v>
      </c>
      <c r="B6" s="10" t="n">
        <v>36</v>
      </c>
      <c r="C6" s="12" t="s">
        <v>152</v>
      </c>
      <c r="D6" s="12" t="n">
        <f aca="false">IFERROR(VLOOKUP(A6,Rates!$B$6:$D$43,3,FALSE()),"")</f>
        <v>35</v>
      </c>
      <c r="E6" s="12" t="n">
        <f aca="false">IF(A6="","",IF(Inputs!$B$6="Erect Only",0,B6*D6))</f>
        <v>1260</v>
      </c>
    </row>
    <row r="7" customFormat="false" ht="15" hidden="false" customHeight="false" outlineLevel="0" collapsed="false">
      <c r="A7" s="12" t="s">
        <v>76</v>
      </c>
      <c r="B7" s="10" t="n">
        <v>2</v>
      </c>
      <c r="C7" s="12" t="s">
        <v>152</v>
      </c>
      <c r="D7" s="12" t="n">
        <f aca="false">IFERROR(VLOOKUP(A7,Rates!$B$6:$D$43,3,FALSE()),"")</f>
        <v>195</v>
      </c>
      <c r="E7" s="12" t="n">
        <f aca="false">IF(A7="","",IF(Inputs!$B$6="Erect Only",0,B7*D7))</f>
        <v>390</v>
      </c>
    </row>
    <row r="8" customFormat="false" ht="15" hidden="false" customHeight="false" outlineLevel="0" collapsed="false">
      <c r="A8" s="12" t="s">
        <v>113</v>
      </c>
      <c r="B8" s="10" t="n">
        <v>1</v>
      </c>
      <c r="C8" s="12" t="s">
        <v>152</v>
      </c>
      <c r="D8" s="12" t="n">
        <f aca="false">IFERROR(VLOOKUP(A8,Rates!$B$6:$D$43,3,FALSE()),"")</f>
        <v>2103</v>
      </c>
      <c r="E8" s="12" t="n">
        <f aca="false">IF(A8="","",IF(Inputs!$B$6="Erect Only",0,B8*D8))</f>
        <v>2103</v>
      </c>
    </row>
    <row r="9" customFormat="false" ht="15" hidden="false" customHeight="false" outlineLevel="0" collapsed="false">
      <c r="A9" s="12"/>
      <c r="B9" s="12"/>
      <c r="C9" s="12"/>
      <c r="D9" s="12" t="str">
        <f aca="false">IFERROR(VLOOKUP(A9,Rates!$B$6:$D$43,3,FALSE()),"")</f>
        <v/>
      </c>
      <c r="E9" s="12" t="str">
        <f aca="false">IF(A9="","",IF(Inputs!$B$6="Erect Only",0,B9*D9))</f>
        <v/>
      </c>
    </row>
    <row r="10" customFormat="false" ht="15" hidden="false" customHeight="false" outlineLevel="0" collapsed="false">
      <c r="A10" s="12"/>
      <c r="B10" s="12"/>
      <c r="C10" s="12"/>
      <c r="D10" s="12" t="str">
        <f aca="false">IFERROR(VLOOKUP(A10,Rates!$B$6:$D$43,3,FALSE()),"")</f>
        <v/>
      </c>
      <c r="E10" s="12" t="str">
        <f aca="false">IF(A10="","",IF(Inputs!$B$6="Erect Only",0,B10*D10))</f>
        <v/>
      </c>
    </row>
    <row r="11" customFormat="false" ht="15" hidden="false" customHeight="false" outlineLevel="0" collapsed="false">
      <c r="A11" s="12"/>
      <c r="B11" s="12"/>
      <c r="C11" s="12"/>
      <c r="D11" s="12" t="str">
        <f aca="false">IFERROR(VLOOKUP(A11,Rates!$B$6:$D$43,3,FALSE()),"")</f>
        <v/>
      </c>
      <c r="E11" s="12" t="str">
        <f aca="false">IF(A11="","",IF(Inputs!$B$6="Erect Only",0,B11*D11))</f>
        <v/>
      </c>
    </row>
    <row r="12" customFormat="false" ht="15" hidden="false" customHeight="false" outlineLevel="0" collapsed="false">
      <c r="A12" s="12"/>
      <c r="B12" s="12"/>
      <c r="C12" s="12"/>
      <c r="D12" s="12" t="str">
        <f aca="false">IFERROR(VLOOKUP(A12,Rates!$B$6:$D$43,3,FALSE()),"")</f>
        <v/>
      </c>
      <c r="E12" s="12" t="str">
        <f aca="false">IF(A12="","",IF(Inputs!$B$6="Erect Only",0,B12*D12))</f>
        <v/>
      </c>
    </row>
    <row r="13" customFormat="false" ht="15" hidden="false" customHeight="false" outlineLevel="0" collapsed="false">
      <c r="A13" s="12"/>
      <c r="B13" s="12"/>
      <c r="C13" s="12"/>
      <c r="D13" s="12" t="str">
        <f aca="false">IFERROR(VLOOKUP(A13,Rates!$B$6:$D$43,3,FALSE()),"")</f>
        <v/>
      </c>
      <c r="E13" s="12" t="str">
        <f aca="false">IF(A13="","",IF(Inputs!$B$6="Erect Only",0,B13*D13))</f>
        <v/>
      </c>
    </row>
    <row r="14" customFormat="false" ht="15" hidden="false" customHeight="false" outlineLevel="0" collapsed="false">
      <c r="A14" s="12"/>
      <c r="B14" s="12"/>
      <c r="C14" s="12"/>
      <c r="D14" s="12" t="str">
        <f aca="false">IFERROR(VLOOKUP(A14,Rates!$B$6:$D$43,3,FALSE()),"")</f>
        <v/>
      </c>
      <c r="E14" s="12" t="str">
        <f aca="false">IF(A14="","",IF(Inputs!$B$6="Erect Only",0,B14*D14))</f>
        <v/>
      </c>
    </row>
    <row r="15" customFormat="false" ht="15" hidden="false" customHeight="false" outlineLevel="0" collapsed="false">
      <c r="A15" s="4" t="s">
        <v>238</v>
      </c>
      <c r="E15" s="4" t="n">
        <f aca="false">SUM(E6:E14)</f>
        <v>3753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239</v>
      </c>
    </row>
    <row r="4" customFormat="false" ht="15" hidden="false" customHeight="false" outlineLevel="0" collapsed="false">
      <c r="A4" s="3" t="s">
        <v>240</v>
      </c>
      <c r="B4" s="19" t="n">
        <f aca="false">'Section 5 - Pricing'!J16</f>
        <v>14972.7552624</v>
      </c>
    </row>
    <row r="5" customFormat="false" ht="15" hidden="false" customHeight="false" outlineLevel="0" collapsed="false">
      <c r="A5" s="3" t="s">
        <v>241</v>
      </c>
      <c r="B5" s="19" t="n">
        <f aca="false">'Buyout &amp; Hardware'!E15</f>
        <v>3753</v>
      </c>
    </row>
    <row r="6" customFormat="false" ht="15" hidden="false" customHeight="false" outlineLevel="0" collapsed="false">
      <c r="A6" s="20" t="s">
        <v>242</v>
      </c>
      <c r="B6" s="21" t="n">
        <v>0</v>
      </c>
    </row>
    <row r="7" customFormat="false" ht="15" hidden="false" customHeight="false" outlineLevel="0" collapsed="false">
      <c r="A7" s="3" t="s">
        <v>243</v>
      </c>
      <c r="B7" s="19" t="n">
        <f aca="false">IF(Inputs!$B$6="Erect Only",0,B6*(1+Inputs!$B$10))</f>
        <v>0</v>
      </c>
    </row>
    <row r="8" customFormat="false" ht="15" hidden="false" customHeight="false" outlineLevel="0" collapsed="false">
      <c r="A8" s="3" t="s">
        <v>244</v>
      </c>
      <c r="B8" s="19" t="n">
        <f aca="false">B4+B5+B7</f>
        <v>18725.7552624</v>
      </c>
    </row>
    <row r="9" customFormat="false" ht="15" hidden="false" customHeight="false" outlineLevel="0" collapsed="false">
      <c r="A9" s="3" t="s">
        <v>245</v>
      </c>
      <c r="B9" s="19" t="n">
        <f aca="false">'Section 5 - Pricing'!K16</f>
        <v>6568.012745</v>
      </c>
    </row>
    <row r="10" customFormat="false" ht="15" hidden="false" customHeight="false" outlineLevel="0" collapsed="false">
      <c r="A10" s="3" t="s">
        <v>246</v>
      </c>
      <c r="B10" s="19" t="n">
        <f aca="false">'Section 5 - Pricing'!L16</f>
        <v>0</v>
      </c>
    </row>
    <row r="11" customFormat="false" ht="15" hidden="false" customHeight="false" outlineLevel="0" collapsed="false">
      <c r="A11" s="3" t="s">
        <v>247</v>
      </c>
      <c r="B11" s="19" t="n">
        <v>1200</v>
      </c>
    </row>
    <row r="12" customFormat="false" ht="15" hidden="false" customHeight="false" outlineLevel="0" collapsed="false">
      <c r="A12" s="3" t="s">
        <v>248</v>
      </c>
      <c r="B12" s="19" t="n">
        <v>0</v>
      </c>
    </row>
    <row r="13" customFormat="false" ht="15" hidden="false" customHeight="false" outlineLevel="0" collapsed="false">
      <c r="A13" s="3" t="s">
        <v>249</v>
      </c>
      <c r="B13" s="19" t="n">
        <f aca="false">'Summary by Material'!C15*VLOOKUP("Detailing",Rates!$B$6:$D$43,3,FALSE())</f>
        <v>1663.68654</v>
      </c>
    </row>
    <row r="14" customFormat="false" ht="15" hidden="false" customHeight="false" outlineLevel="0" collapsed="false">
      <c r="A14" s="3" t="s">
        <v>250</v>
      </c>
      <c r="B14" s="19" t="n">
        <f aca="false">SUM(B9:B13)</f>
        <v>9431.699285</v>
      </c>
    </row>
    <row r="15" customFormat="false" ht="15" hidden="false" customHeight="false" outlineLevel="0" collapsed="false">
      <c r="A15" s="4" t="s">
        <v>251</v>
      </c>
      <c r="B15" s="22" t="n">
        <f aca="false">B8+B14</f>
        <v>28157.4545474</v>
      </c>
    </row>
    <row r="16" customFormat="false" ht="15" hidden="false" customHeight="false" outlineLevel="0" collapsed="false">
      <c r="A16" s="3" t="s">
        <v>252</v>
      </c>
      <c r="B16" s="3" t="s">
        <v>40</v>
      </c>
    </row>
    <row r="17" customFormat="false" ht="15" hidden="false" customHeight="false" outlineLevel="0" collapsed="false">
      <c r="A17" s="3" t="s">
        <v>253</v>
      </c>
      <c r="B17" s="3"/>
    </row>
    <row r="18" customFormat="false" ht="15" hidden="false" customHeight="false" outlineLevel="0" collapsed="false">
      <c r="A18" s="3" t="s">
        <v>254</v>
      </c>
      <c r="B18" s="3"/>
    </row>
    <row r="19" customFormat="false" ht="15" hidden="false" customHeight="false" outlineLevel="0" collapsed="false">
      <c r="A19" s="3" t="s">
        <v>255</v>
      </c>
      <c r="B19" s="19" t="n">
        <f aca="false">IF(B16&lt;&gt;"Yes",0,IF(B17="",IF(B18="",0,B18),B15*B17))</f>
        <v>0</v>
      </c>
    </row>
    <row r="20" customFormat="false" ht="15" hidden="false" customHeight="false" outlineLevel="0" collapsed="false">
      <c r="A20" s="3" t="s">
        <v>256</v>
      </c>
      <c r="B20" s="19" t="n">
        <f aca="false">B15*Inputs!$B$9</f>
        <v>3294.4221820458</v>
      </c>
    </row>
    <row r="21" customFormat="false" ht="15" hidden="false" customHeight="false" outlineLevel="0" collapsed="false">
      <c r="A21" s="3" t="s">
        <v>257</v>
      </c>
      <c r="B21" s="19" t="n">
        <f aca="false">IF(Inputs!$B$7="Yes",0,B8*Inputs!$B$8)</f>
        <v>1310.802868368</v>
      </c>
    </row>
    <row r="22" customFormat="false" ht="15" hidden="false" customHeight="false" outlineLevel="0" collapsed="false">
      <c r="A22" s="3" t="s">
        <v>258</v>
      </c>
      <c r="B22" s="19" t="n">
        <f aca="false">B15+B19+B20+B21</f>
        <v>32762.6795978138</v>
      </c>
    </row>
    <row r="23" customFormat="false" ht="15" hidden="false" customHeight="false" outlineLevel="0" collapsed="false">
      <c r="A23" s="4" t="s">
        <v>259</v>
      </c>
      <c r="B23" s="22" t="n">
        <f aca="false">CEILING(B22,Inputs!$B$12)</f>
        <v>33000</v>
      </c>
    </row>
    <row r="24" customFormat="false" ht="15" hidden="false" customHeight="false" outlineLevel="0" collapsed="false">
      <c r="A24" s="3" t="s">
        <v>260</v>
      </c>
      <c r="B24" s="23" t="n">
        <f aca="false">B20/B23</f>
        <v>0.0998309752135091</v>
      </c>
    </row>
    <row r="25" customFormat="false" ht="15" hidden="false" customHeight="false" outlineLevel="0" collapsed="false">
      <c r="A25" s="3" t="s">
        <v>261</v>
      </c>
      <c r="B25" s="19" t="str">
        <f aca="false">IF(B24&gt;=Inputs!$B$11,"PASS","BELOW TARGET - raise Profit Floor %, do not touch material rates")</f>
        <v>BELOW TARGET - raise Profit Floor %, do not touch material rates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0" t="s">
        <v>264</v>
      </c>
      <c r="B4" s="0" t="s">
        <v>265</v>
      </c>
      <c r="C4" s="0" t="s">
        <v>266</v>
      </c>
    </row>
    <row r="5" customFormat="false" ht="15" hidden="false" customHeight="false" outlineLevel="0" collapsed="false">
      <c r="A5" s="8"/>
      <c r="B5" s="8"/>
      <c r="C5" s="8"/>
    </row>
    <row r="6" customFormat="false" ht="15" hidden="false" customHeight="false" outlineLevel="0" collapsed="false">
      <c r="A6" s="14" t="s">
        <v>267</v>
      </c>
      <c r="B6" s="12" t="str">
        <f aca="false">IF(COUNTIF('Section 5 - Pricing'!N6:N14,"FLAGGED*")=0,"PASS","FAIL")</f>
        <v>FAIL</v>
      </c>
      <c r="C6" s="14" t="str">
        <f aca="false">COUNTIF('Section 5 - Pricing'!N6:N14,"FLAGGED*")&amp;" flagged row(s) - see Status column"</f>
        <v>6 flagged row(s) - see Status column</v>
      </c>
    </row>
    <row r="7" customFormat="false" ht="15" hidden="false" customHeight="false" outlineLevel="0" collapsed="false">
      <c r="A7" s="14" t="s">
        <v>268</v>
      </c>
      <c r="B7" s="12" t="str">
        <f aca="false">IF(COUNTIF(Takeoff!L6:L20,"HARD FAIL")=0,"PASS","FAIL")</f>
        <v>PASS</v>
      </c>
      <c r="C7" s="14" t="str">
        <f aca="false">COUNTIF(Takeoff!L6:L20,"HARD FAIL")&amp;" line(s) exceed 30% waste"</f>
        <v>0 line(s) exceed 30% waste</v>
      </c>
    </row>
    <row r="8" customFormat="false" ht="28.35" hidden="false" customHeight="false" outlineLevel="0" collapsed="false">
      <c r="A8" s="14" t="s">
        <v>269</v>
      </c>
      <c r="B8" s="12" t="str">
        <f aca="false">IF(ROUND('Summary by Material'!C15*2000,0)=ROUND(SUM(Takeoff!K6:K20),0),"PASS","FAIL")</f>
        <v>PASS</v>
      </c>
      <c r="C8" s="14" t="s">
        <v>270</v>
      </c>
    </row>
    <row r="9" customFormat="false" ht="15" hidden="false" customHeight="false" outlineLevel="0" collapsed="false">
      <c r="A9" s="14" t="s">
        <v>271</v>
      </c>
      <c r="B9" s="24" t="n">
        <f aca="false">'Bid Summary'!B24</f>
        <v>0.0998309752135091</v>
      </c>
      <c r="C9" s="14"/>
    </row>
    <row r="10" customFormat="false" ht="28.35" hidden="false" customHeight="false" outlineLevel="0" collapsed="false">
      <c r="A10" s="14" t="s">
        <v>272</v>
      </c>
      <c r="B10" s="12" t="str">
        <f aca="false">IF('Bid Summary'!B6&gt;0,"PASS","FAIL - awaiting supplier quote")</f>
        <v>FAIL - awaiting supplier quote</v>
      </c>
      <c r="C10" s="14"/>
    </row>
    <row r="11" customFormat="false" ht="15" hidden="false" customHeight="false" outlineLevel="0" collapsed="false">
      <c r="A11" s="14" t="s">
        <v>273</v>
      </c>
      <c r="B11" s="12" t="str">
        <f aca="false">IF(ISNUMBER('Section 5 - Pricing'!H13),"PASS","FAIL - awaiting bolts-per-connection standard from Arie")</f>
        <v>FAIL - awaiting bolts-per-connection standard from Arie</v>
      </c>
      <c r="C11" s="14"/>
    </row>
    <row r="12" customFormat="false" ht="15" hidden="false" customHeight="false" outlineLevel="0" collapsed="false">
      <c r="A12" s="14" t="s">
        <v>274</v>
      </c>
      <c r="B12" s="12" t="str">
        <f aca="false">IF(ISNUMBER('Section 5 - Pricing'!F14),"PASS","FAIL - awaiting production rate from Arie")</f>
        <v>FAIL - awaiting production rate from Arie</v>
      </c>
      <c r="C12" s="14"/>
    </row>
    <row r="13" customFormat="false" ht="15" hidden="false" customHeight="false" outlineLevel="0" collapsed="false">
      <c r="A13" s="14" t="s">
        <v>275</v>
      </c>
      <c r="B13" s="12" t="str">
        <f aca="false">"MANUAL CHECK - see Takeoff row for Perimeter Angle, flagged pending A-105 review"</f>
        <v>MANUAL CHECK - see Takeoff row for Perimeter Angle, flagged pending A-105 review</v>
      </c>
      <c r="C13" s="14"/>
    </row>
    <row r="14" customFormat="false" ht="28.35" hidden="false" customHeight="false" outlineLevel="0" collapsed="false">
      <c r="A14" s="14" t="s">
        <v>276</v>
      </c>
      <c r="B14" s="12" t="str">
        <f aca="false">"MANUAL CHECK - currently door-schedule-only, see Takeoff notes"</f>
        <v>MANUAL CHECK - currently door-schedule-only, see Takeoff notes</v>
      </c>
      <c r="C14" s="14"/>
    </row>
    <row r="16" customFormat="false" ht="15" hidden="false" customHeight="false" outlineLevel="0" collapsed="false">
      <c r="A16" s="25" t="s">
        <v>277</v>
      </c>
      <c r="B16" s="25" t="str">
        <f aca="false">IF(COUNTIF(B6:B14,"FAIL*")&gt;0,"DRAFT - DO NOT SUBMIT","READY FOR REVIEW")</f>
        <v>DRAFT - DO NOT SUBMIT</v>
      </c>
    </row>
  </sheetData>
  <conditionalFormatting sqref="B6:B14">
    <cfRule type="expression" priority="2" aboveAverage="0" equalAverage="0" bottom="0" percent="0" rank="0" text="" dxfId="0">
      <formula>LEFT(B6,4)="PASS"</formula>
    </cfRule>
    <cfRule type="expression" priority="3" aboveAverage="0" equalAverage="0" bottom="0" percent="0" rank="0" text="" dxfId="1">
      <formula>LEFT(B6,4)="FAIL"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2026-07-17T15:04:40Z</dcterms:created>
  <dc:creator>openpyxl</dc:creator>
  <dc:description/>
  <dc:language>en-US</dc:language>
  <cp:lastModifiedBy/>
  <dcterms:modified xsi:type="dcterms:W3CDTF">2026-07-17T15:04:40Z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